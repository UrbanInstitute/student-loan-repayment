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2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D:\Users\KBlagg\Desktop\"/>
    </mc:Choice>
  </mc:AlternateContent>
  <bookViews>
    <workbookView xWindow="0" yWindow="0" windowWidth="16170" windowHeight="5655" tabRatio="500" activeTab="3"/>
  </bookViews>
  <sheets>
    <sheet name="Sheet1" sheetId="1" r:id="rId1"/>
    <sheet name="Sheet2" sheetId="2" r:id="rId2"/>
    <sheet name="Sheet3" sheetId="4" r:id="rId3"/>
    <sheet name="Sheet4" sheetId="6" r:id="rId4"/>
    <sheet name="Checks" sheetId="5" state="hidden" r:id="rId5"/>
  </sheet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S7" i="1" l="1"/>
  <c r="S9" i="1"/>
  <c r="B3" i="1"/>
  <c r="K3" i="1"/>
  <c r="B4" i="1"/>
  <c r="K4" i="1"/>
  <c r="B5" i="1"/>
  <c r="K5" i="1"/>
  <c r="B6" i="1"/>
  <c r="K6" i="1"/>
  <c r="L3" i="1"/>
  <c r="M3" i="1"/>
  <c r="S10" i="1"/>
  <c r="M4" i="1"/>
  <c r="M5" i="1"/>
  <c r="M6" i="1"/>
  <c r="B7" i="1"/>
  <c r="K7" i="1"/>
  <c r="M7" i="1"/>
  <c r="B8" i="1"/>
  <c r="K8" i="1"/>
  <c r="M8" i="1"/>
  <c r="B9" i="1"/>
  <c r="K9" i="1"/>
  <c r="M9" i="1"/>
  <c r="B10" i="1"/>
  <c r="K10" i="1"/>
  <c r="M10" i="1"/>
  <c r="B11" i="1"/>
  <c r="K11" i="1"/>
  <c r="M11" i="1"/>
  <c r="B12" i="1"/>
  <c r="K12" i="1"/>
  <c r="M12" i="1"/>
  <c r="B13" i="1"/>
  <c r="K13" i="1"/>
  <c r="M13" i="1"/>
  <c r="B14" i="1"/>
  <c r="K14" i="1"/>
  <c r="M14" i="1"/>
  <c r="B15" i="1"/>
  <c r="K15" i="1"/>
  <c r="M15" i="1"/>
  <c r="B16" i="1"/>
  <c r="K16" i="1"/>
  <c r="M16" i="1"/>
  <c r="B17" i="1"/>
  <c r="K17" i="1"/>
  <c r="M17" i="1"/>
  <c r="B18" i="1"/>
  <c r="K18" i="1"/>
  <c r="M18" i="1"/>
  <c r="B19" i="1"/>
  <c r="K19" i="1"/>
  <c r="M19" i="1"/>
  <c r="B20" i="1"/>
  <c r="K20" i="1"/>
  <c r="M20" i="1"/>
  <c r="B21" i="1"/>
  <c r="K21" i="1"/>
  <c r="M21" i="1"/>
  <c r="B22" i="1"/>
  <c r="K22" i="1"/>
  <c r="M22" i="1"/>
  <c r="B23" i="1"/>
  <c r="K23" i="1"/>
  <c r="M23" i="1"/>
  <c r="B24" i="1"/>
  <c r="K24" i="1"/>
  <c r="M24" i="1"/>
  <c r="B25" i="1"/>
  <c r="K25" i="1"/>
  <c r="M25" i="1"/>
  <c r="B26" i="1"/>
  <c r="K26" i="1"/>
  <c r="M26" i="1"/>
  <c r="B27" i="1"/>
  <c r="K27" i="1"/>
  <c r="M27" i="1"/>
  <c r="B28" i="1"/>
  <c r="K28" i="1"/>
  <c r="M28" i="1"/>
  <c r="B29" i="1"/>
  <c r="K29" i="1"/>
  <c r="M29" i="1"/>
  <c r="B30" i="1"/>
  <c r="K30" i="1"/>
  <c r="M30" i="1"/>
  <c r="B31" i="1"/>
  <c r="K31" i="1"/>
  <c r="M31" i="1"/>
  <c r="B32" i="1"/>
  <c r="K32" i="1"/>
  <c r="M32" i="1"/>
  <c r="B33" i="1"/>
  <c r="K33" i="1"/>
  <c r="M33" i="1"/>
  <c r="B34" i="1"/>
  <c r="K34" i="1"/>
  <c r="M34" i="1"/>
  <c r="B35" i="1"/>
  <c r="K35" i="1"/>
  <c r="M35" i="1"/>
  <c r="B36" i="1"/>
  <c r="K36" i="1"/>
  <c r="M36" i="1"/>
  <c r="B37" i="1"/>
  <c r="K37" i="1"/>
  <c r="M37" i="1"/>
  <c r="B38" i="1"/>
  <c r="K38" i="1"/>
  <c r="M38" i="1"/>
  <c r="B39" i="1"/>
  <c r="K39" i="1"/>
  <c r="M39" i="1"/>
  <c r="B40" i="1"/>
  <c r="K40" i="1"/>
  <c r="M40" i="1"/>
  <c r="B41" i="1"/>
  <c r="K41" i="1"/>
  <c r="M41" i="1"/>
  <c r="B42" i="1"/>
  <c r="K42" i="1"/>
  <c r="M42" i="1"/>
  <c r="B43" i="1"/>
  <c r="K43" i="1"/>
  <c r="M43" i="1"/>
  <c r="B44" i="1"/>
  <c r="K44" i="1"/>
  <c r="M44" i="1"/>
  <c r="B45" i="1"/>
  <c r="K45" i="1"/>
  <c r="M45" i="1"/>
  <c r="B46" i="1"/>
  <c r="K46" i="1"/>
  <c r="M46" i="1"/>
  <c r="B47" i="1"/>
  <c r="K47" i="1"/>
  <c r="M47" i="1"/>
  <c r="B48" i="1"/>
  <c r="K48" i="1"/>
  <c r="M48" i="1"/>
  <c r="B49" i="1"/>
  <c r="K49" i="1"/>
  <c r="M49" i="1"/>
  <c r="B50" i="1"/>
  <c r="K50" i="1"/>
  <c r="M50" i="1"/>
  <c r="B51" i="1"/>
  <c r="K51" i="1"/>
  <c r="M51" i="1"/>
  <c r="B52" i="1"/>
  <c r="K52" i="1"/>
  <c r="M52" i="1"/>
  <c r="B53" i="1"/>
  <c r="K53" i="1"/>
  <c r="M53" i="1"/>
  <c r="B54" i="1"/>
  <c r="K54" i="1"/>
  <c r="M54" i="1"/>
  <c r="B55" i="1"/>
  <c r="K55" i="1"/>
  <c r="M55" i="1"/>
  <c r="B56" i="1"/>
  <c r="K56" i="1"/>
  <c r="M56" i="1"/>
  <c r="B57" i="1"/>
  <c r="K57" i="1"/>
  <c r="M57" i="1"/>
  <c r="B58" i="1"/>
  <c r="K58" i="1"/>
  <c r="M58" i="1"/>
  <c r="B59" i="1"/>
  <c r="K59" i="1"/>
  <c r="M59" i="1"/>
  <c r="B60" i="1"/>
  <c r="K60" i="1"/>
  <c r="M60" i="1"/>
  <c r="B61" i="1"/>
  <c r="K61" i="1"/>
  <c r="M61" i="1"/>
  <c r="B62" i="1"/>
  <c r="K62" i="1"/>
  <c r="M62" i="1"/>
  <c r="F118" i="2"/>
  <c r="F133" i="2"/>
  <c r="F149" i="2"/>
  <c r="F150" i="2"/>
  <c r="F157" i="2"/>
  <c r="F165" i="2"/>
  <c r="G65" i="2"/>
  <c r="F65" i="2"/>
  <c r="H65" i="2"/>
  <c r="G66" i="2"/>
  <c r="F66" i="2"/>
  <c r="H66" i="2"/>
  <c r="G67" i="2"/>
  <c r="F67" i="2"/>
  <c r="H67" i="2"/>
  <c r="G68" i="2"/>
  <c r="F68" i="2"/>
  <c r="H68" i="2"/>
  <c r="G69" i="2"/>
  <c r="F69" i="2"/>
  <c r="H69" i="2"/>
  <c r="G70" i="2"/>
  <c r="F70" i="2"/>
  <c r="H70" i="2"/>
  <c r="G71" i="2"/>
  <c r="F71" i="2"/>
  <c r="H71" i="2"/>
  <c r="G72" i="2"/>
  <c r="F72" i="2"/>
  <c r="H72" i="2"/>
  <c r="G73" i="2"/>
  <c r="F73" i="2"/>
  <c r="H73" i="2"/>
  <c r="G74" i="2"/>
  <c r="F74" i="2"/>
  <c r="H74" i="2"/>
  <c r="G75" i="2"/>
  <c r="F75" i="2"/>
  <c r="H75" i="2"/>
  <c r="G76" i="2"/>
  <c r="F76" i="2"/>
  <c r="H76" i="2"/>
  <c r="G77" i="2"/>
  <c r="F77" i="2"/>
  <c r="H77" i="2"/>
  <c r="G78" i="2"/>
  <c r="F78" i="2"/>
  <c r="H78" i="2"/>
  <c r="G79" i="2"/>
  <c r="F79" i="2"/>
  <c r="H79" i="2"/>
  <c r="G80" i="2"/>
  <c r="F80" i="2"/>
  <c r="H80" i="2"/>
  <c r="G81" i="2"/>
  <c r="F81" i="2"/>
  <c r="H81" i="2"/>
  <c r="G82" i="2"/>
  <c r="F82" i="2"/>
  <c r="H82" i="2"/>
  <c r="G83" i="2"/>
  <c r="F83" i="2"/>
  <c r="H83" i="2"/>
  <c r="G84" i="2"/>
  <c r="F84" i="2"/>
  <c r="H84" i="2"/>
  <c r="G85" i="2"/>
  <c r="F85" i="2"/>
  <c r="H85" i="2"/>
  <c r="G86" i="2"/>
  <c r="F86" i="2"/>
  <c r="H86" i="2"/>
  <c r="G87" i="2"/>
  <c r="F87" i="2"/>
  <c r="H87" i="2"/>
  <c r="G88" i="2"/>
  <c r="F88" i="2"/>
  <c r="H88" i="2"/>
  <c r="G89" i="2"/>
  <c r="F89" i="2"/>
  <c r="H89" i="2"/>
  <c r="G90" i="2"/>
  <c r="F90" i="2"/>
  <c r="H90" i="2"/>
  <c r="G91" i="2"/>
  <c r="F91" i="2"/>
  <c r="H91" i="2"/>
  <c r="G92" i="2"/>
  <c r="F92" i="2"/>
  <c r="H92" i="2"/>
  <c r="G93" i="2"/>
  <c r="F93" i="2"/>
  <c r="H93" i="2"/>
  <c r="G94" i="2"/>
  <c r="F94" i="2"/>
  <c r="H94" i="2"/>
  <c r="G95" i="2"/>
  <c r="F95" i="2"/>
  <c r="H95" i="2"/>
  <c r="G96" i="2"/>
  <c r="F96" i="2"/>
  <c r="H96" i="2"/>
  <c r="G97" i="2"/>
  <c r="F97" i="2"/>
  <c r="H97" i="2"/>
  <c r="G98" i="2"/>
  <c r="F98" i="2"/>
  <c r="H98" i="2"/>
  <c r="G99" i="2"/>
  <c r="F99" i="2"/>
  <c r="H99" i="2"/>
  <c r="G100" i="2"/>
  <c r="F100" i="2"/>
  <c r="H100" i="2"/>
  <c r="G101" i="2"/>
  <c r="F101" i="2"/>
  <c r="H101" i="2"/>
  <c r="G102" i="2"/>
  <c r="F102" i="2"/>
  <c r="H102" i="2"/>
  <c r="G103" i="2"/>
  <c r="F103" i="2"/>
  <c r="H103" i="2"/>
  <c r="G104" i="2"/>
  <c r="F104" i="2"/>
  <c r="H104" i="2"/>
  <c r="G105" i="2"/>
  <c r="F105" i="2"/>
  <c r="H105" i="2"/>
  <c r="G106" i="2"/>
  <c r="F106" i="2"/>
  <c r="H106" i="2"/>
  <c r="G107" i="2"/>
  <c r="F107" i="2"/>
  <c r="H107" i="2"/>
  <c r="G108" i="2"/>
  <c r="F108" i="2"/>
  <c r="H108" i="2"/>
  <c r="G109" i="2"/>
  <c r="F109" i="2"/>
  <c r="H109" i="2"/>
  <c r="G110" i="2"/>
  <c r="F110" i="2"/>
  <c r="H110" i="2"/>
  <c r="G111" i="2"/>
  <c r="F111" i="2"/>
  <c r="H111" i="2"/>
  <c r="G112" i="2"/>
  <c r="F112" i="2"/>
  <c r="H112" i="2"/>
  <c r="G113" i="2"/>
  <c r="H113" i="2"/>
  <c r="F113" i="2"/>
  <c r="G114" i="2"/>
  <c r="F114" i="2"/>
  <c r="H114" i="2"/>
  <c r="G115" i="2"/>
  <c r="F115" i="2"/>
  <c r="H115" i="2"/>
  <c r="G116" i="2"/>
  <c r="F116" i="2"/>
  <c r="H116" i="2"/>
  <c r="G117" i="2"/>
  <c r="F117" i="2"/>
  <c r="H117" i="2"/>
  <c r="G118" i="2"/>
  <c r="H118" i="2"/>
  <c r="G119" i="2"/>
  <c r="F119" i="2"/>
  <c r="H119" i="2"/>
  <c r="G120" i="2"/>
  <c r="F120" i="2"/>
  <c r="H120" i="2"/>
  <c r="G121" i="2"/>
  <c r="F121" i="2"/>
  <c r="H121" i="2"/>
  <c r="G122" i="2"/>
  <c r="F122" i="2"/>
  <c r="H122" i="2"/>
  <c r="G123" i="2"/>
  <c r="F123" i="2"/>
  <c r="H123" i="2"/>
  <c r="G124" i="2"/>
  <c r="F124" i="2"/>
  <c r="H124" i="2"/>
  <c r="G125" i="2"/>
  <c r="F125" i="2"/>
  <c r="H125" i="2"/>
  <c r="G126" i="2"/>
  <c r="F126" i="2"/>
  <c r="H126" i="2"/>
  <c r="G127" i="2"/>
  <c r="H127" i="2"/>
  <c r="F127" i="2"/>
  <c r="G128" i="2"/>
  <c r="F128" i="2"/>
  <c r="H128" i="2"/>
  <c r="G129" i="2"/>
  <c r="F129" i="2"/>
  <c r="H129" i="2"/>
  <c r="G130" i="2"/>
  <c r="F130" i="2"/>
  <c r="H130" i="2"/>
  <c r="G131" i="2"/>
  <c r="F131" i="2"/>
  <c r="H131" i="2"/>
  <c r="G132" i="2"/>
  <c r="F132" i="2"/>
  <c r="H132" i="2"/>
  <c r="G133" i="2"/>
  <c r="H133" i="2"/>
  <c r="G134" i="2"/>
  <c r="F134" i="2"/>
  <c r="H134" i="2"/>
  <c r="G135" i="2"/>
  <c r="F135" i="2"/>
  <c r="H135" i="2"/>
  <c r="G136" i="2"/>
  <c r="F136" i="2"/>
  <c r="H136" i="2"/>
  <c r="G137" i="2"/>
  <c r="F137" i="2"/>
  <c r="H137" i="2"/>
  <c r="G138" i="2"/>
  <c r="F138" i="2"/>
  <c r="H138" i="2"/>
  <c r="G139" i="2"/>
  <c r="F139" i="2"/>
  <c r="H139" i="2"/>
  <c r="G140" i="2"/>
  <c r="F140" i="2"/>
  <c r="H140" i="2"/>
  <c r="G141" i="2"/>
  <c r="F141" i="2"/>
  <c r="H141" i="2"/>
  <c r="G142" i="2"/>
  <c r="F142" i="2"/>
  <c r="H142" i="2"/>
  <c r="G143" i="2"/>
  <c r="F143" i="2"/>
  <c r="H143" i="2"/>
  <c r="G144" i="2"/>
  <c r="F144" i="2"/>
  <c r="H144" i="2"/>
  <c r="G145" i="2"/>
  <c r="F145" i="2"/>
  <c r="H145" i="2"/>
  <c r="G146" i="2"/>
  <c r="F146" i="2"/>
  <c r="H146" i="2"/>
  <c r="G147" i="2"/>
  <c r="F147" i="2"/>
  <c r="H147" i="2"/>
  <c r="G148" i="2"/>
  <c r="F148" i="2"/>
  <c r="H148" i="2"/>
  <c r="G149" i="2"/>
  <c r="H149" i="2"/>
  <c r="G150" i="2"/>
  <c r="H150" i="2"/>
  <c r="G151" i="2"/>
  <c r="F151" i="2"/>
  <c r="H151" i="2"/>
  <c r="G152" i="2"/>
  <c r="F152" i="2"/>
  <c r="H152" i="2"/>
  <c r="G153" i="2"/>
  <c r="F153" i="2"/>
  <c r="H153" i="2"/>
  <c r="G154" i="2"/>
  <c r="F154" i="2"/>
  <c r="H154" i="2"/>
  <c r="G155" i="2"/>
  <c r="F155" i="2"/>
  <c r="H155" i="2"/>
  <c r="G156" i="2"/>
  <c r="H156" i="2"/>
  <c r="G157" i="2"/>
  <c r="H157" i="2"/>
  <c r="G158" i="2"/>
  <c r="F158" i="2"/>
  <c r="H158" i="2"/>
  <c r="G159" i="2"/>
  <c r="F159" i="2"/>
  <c r="H159" i="2"/>
  <c r="G160" i="2"/>
  <c r="F160" i="2"/>
  <c r="H160" i="2"/>
  <c r="G161" i="2"/>
  <c r="F161" i="2"/>
  <c r="H161" i="2"/>
  <c r="G162" i="2"/>
  <c r="H162" i="2"/>
  <c r="G163" i="2"/>
  <c r="H163" i="2"/>
  <c r="G164" i="2"/>
  <c r="H164" i="2"/>
  <c r="G165" i="2"/>
  <c r="H165" i="2"/>
  <c r="G166" i="2"/>
  <c r="F166" i="2"/>
  <c r="H166" i="2"/>
  <c r="G167" i="2"/>
  <c r="F167" i="2"/>
  <c r="H167" i="2"/>
  <c r="G168" i="2"/>
  <c r="H168" i="2"/>
  <c r="G169" i="2"/>
  <c r="H169" i="2"/>
  <c r="G170" i="2"/>
  <c r="F170" i="2"/>
  <c r="H170" i="2"/>
  <c r="G171" i="2"/>
  <c r="H171" i="2"/>
  <c r="G172" i="2"/>
  <c r="F172" i="2"/>
  <c r="H172" i="2"/>
  <c r="G173" i="2"/>
  <c r="F173" i="2"/>
  <c r="H173" i="2"/>
  <c r="G174" i="2"/>
  <c r="F174" i="2"/>
  <c r="H174" i="2"/>
  <c r="G175" i="2"/>
  <c r="H175" i="2"/>
  <c r="F175" i="2"/>
  <c r="G176" i="2"/>
  <c r="H176" i="2"/>
  <c r="G177" i="2"/>
  <c r="F177" i="2"/>
  <c r="H177" i="2"/>
  <c r="G178" i="2"/>
  <c r="F178" i="2"/>
  <c r="H178" i="2"/>
  <c r="G179" i="2"/>
  <c r="H179" i="2"/>
  <c r="G180" i="2"/>
  <c r="H180" i="2"/>
  <c r="G181" i="2"/>
  <c r="H181" i="2"/>
  <c r="G182" i="2"/>
  <c r="F182" i="2"/>
  <c r="H182" i="2"/>
  <c r="G183" i="2"/>
  <c r="H183" i="2"/>
  <c r="G184" i="2"/>
  <c r="F184" i="2"/>
  <c r="H184" i="2"/>
  <c r="G185" i="2"/>
  <c r="F185" i="2"/>
  <c r="H185" i="2"/>
  <c r="G186" i="2"/>
  <c r="F186" i="2"/>
  <c r="H186" i="2"/>
  <c r="G187" i="2"/>
  <c r="F187" i="2"/>
  <c r="H187" i="2"/>
  <c r="G188" i="2"/>
  <c r="H188" i="2"/>
  <c r="G189" i="2"/>
  <c r="F189" i="2"/>
  <c r="H189" i="2"/>
  <c r="G190" i="2"/>
  <c r="F190" i="2"/>
  <c r="H190" i="2"/>
  <c r="G191" i="2"/>
  <c r="F191" i="2"/>
  <c r="H191" i="2"/>
  <c r="G192" i="2"/>
  <c r="H192" i="2"/>
  <c r="G193" i="2"/>
  <c r="F193" i="2"/>
  <c r="H193" i="2"/>
  <c r="G194" i="2"/>
  <c r="F194" i="2"/>
  <c r="H194" i="2"/>
  <c r="G195" i="2"/>
  <c r="F195" i="2"/>
  <c r="H195" i="2"/>
  <c r="G196" i="2"/>
  <c r="H196" i="2"/>
  <c r="G197" i="2"/>
  <c r="H197" i="2"/>
  <c r="G198" i="2"/>
  <c r="F198" i="2"/>
  <c r="H198" i="2"/>
  <c r="G199" i="2"/>
  <c r="H199" i="2"/>
  <c r="G200" i="2"/>
  <c r="H200" i="2"/>
  <c r="G201" i="2"/>
  <c r="H201" i="2"/>
  <c r="G202" i="2"/>
  <c r="F202" i="2"/>
  <c r="H202" i="2"/>
  <c r="G203" i="2"/>
  <c r="F203" i="2"/>
  <c r="H203" i="2"/>
  <c r="G204" i="2"/>
  <c r="F204" i="2"/>
  <c r="H204" i="2"/>
  <c r="G205" i="2"/>
  <c r="F205" i="2"/>
  <c r="H205" i="2"/>
  <c r="G206" i="2"/>
  <c r="H206" i="2"/>
  <c r="G207" i="2"/>
  <c r="F207" i="2"/>
  <c r="H207" i="2"/>
  <c r="G208" i="2"/>
  <c r="F208" i="2"/>
  <c r="H208" i="2"/>
  <c r="G209" i="2"/>
  <c r="H209" i="2"/>
  <c r="G210" i="2"/>
  <c r="H210" i="2"/>
  <c r="G211" i="2"/>
  <c r="H211" i="2"/>
  <c r="G212" i="2"/>
  <c r="H212" i="2"/>
  <c r="G213" i="2"/>
  <c r="F213" i="2"/>
  <c r="H213" i="2"/>
  <c r="G214" i="2"/>
  <c r="F214" i="2"/>
  <c r="H214" i="2"/>
  <c r="G215" i="2"/>
  <c r="H215" i="2"/>
  <c r="G216" i="2"/>
  <c r="H216" i="2"/>
  <c r="G217" i="2"/>
  <c r="H217" i="2"/>
  <c r="G218" i="2"/>
  <c r="H218" i="2"/>
  <c r="G219" i="2"/>
  <c r="F219" i="2"/>
  <c r="H219" i="2"/>
  <c r="G220" i="2"/>
  <c r="H220" i="2"/>
  <c r="G221" i="2"/>
  <c r="F221" i="2"/>
  <c r="H221" i="2"/>
  <c r="G222" i="2"/>
  <c r="F222" i="2"/>
  <c r="H222" i="2"/>
  <c r="G223" i="2"/>
  <c r="H223" i="2"/>
  <c r="G224" i="2"/>
  <c r="H224" i="2"/>
  <c r="G225" i="2"/>
  <c r="F225" i="2"/>
  <c r="H225" i="2"/>
  <c r="G226" i="2"/>
  <c r="H226" i="2"/>
  <c r="G227" i="2"/>
  <c r="F227" i="2"/>
  <c r="H227" i="2"/>
  <c r="G228" i="2"/>
  <c r="F228" i="2"/>
  <c r="H228" i="2"/>
  <c r="G229" i="2"/>
  <c r="F229" i="2"/>
  <c r="H229" i="2"/>
  <c r="G230" i="2"/>
  <c r="F230" i="2"/>
  <c r="H230" i="2"/>
  <c r="G231" i="2"/>
  <c r="H231" i="2"/>
  <c r="G232" i="2"/>
  <c r="H232" i="2"/>
  <c r="G64" i="2"/>
  <c r="F64" i="2"/>
  <c r="H64"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2" i="2"/>
  <c r="G3" i="2"/>
  <c r="F3" i="2"/>
  <c r="G4" i="2"/>
  <c r="F4" i="2"/>
  <c r="G5" i="2"/>
  <c r="F5" i="2"/>
  <c r="G6" i="2"/>
  <c r="F6" i="2"/>
  <c r="G7" i="2"/>
  <c r="F7" i="2"/>
  <c r="G8" i="2"/>
  <c r="F8" i="2"/>
  <c r="G9" i="2"/>
  <c r="F9" i="2"/>
  <c r="G10" i="2"/>
  <c r="F10" i="2"/>
  <c r="G11" i="2"/>
  <c r="F11" i="2"/>
  <c r="G12" i="2"/>
  <c r="F12" i="2"/>
  <c r="G13" i="2"/>
  <c r="F13" i="2"/>
  <c r="G14" i="2"/>
  <c r="F14" i="2"/>
  <c r="G15" i="2"/>
  <c r="F15" i="2"/>
  <c r="G16" i="2"/>
  <c r="F16" i="2"/>
  <c r="G17" i="2"/>
  <c r="F17" i="2"/>
  <c r="G18" i="2"/>
  <c r="F18" i="2"/>
  <c r="G19" i="2"/>
  <c r="F19" i="2"/>
  <c r="G20" i="2"/>
  <c r="F20" i="2"/>
  <c r="G21" i="2"/>
  <c r="F21" i="2"/>
  <c r="G22" i="2"/>
  <c r="F22" i="2"/>
  <c r="G23" i="2"/>
  <c r="F23" i="2"/>
  <c r="G24" i="2"/>
  <c r="F24" i="2"/>
  <c r="G25" i="2"/>
  <c r="F25" i="2"/>
  <c r="G26" i="2"/>
  <c r="F26" i="2"/>
  <c r="G27" i="2"/>
  <c r="F27" i="2"/>
  <c r="G28" i="2"/>
  <c r="F28" i="2"/>
  <c r="G29" i="2"/>
  <c r="F29" i="2"/>
  <c r="G30" i="2"/>
  <c r="F30" i="2"/>
  <c r="G31" i="2"/>
  <c r="F31" i="2"/>
  <c r="G32" i="2"/>
  <c r="F32" i="2"/>
  <c r="G33" i="2"/>
  <c r="F33" i="2"/>
  <c r="G34" i="2"/>
  <c r="F34" i="2"/>
  <c r="G35" i="2"/>
  <c r="F35" i="2"/>
  <c r="G36" i="2"/>
  <c r="F36" i="2"/>
  <c r="G37" i="2"/>
  <c r="F37" i="2"/>
  <c r="G38" i="2"/>
  <c r="F38" i="2"/>
  <c r="G39" i="2"/>
  <c r="F39" i="2"/>
  <c r="G40" i="2"/>
  <c r="F40" i="2"/>
  <c r="G41" i="2"/>
  <c r="F41" i="2"/>
  <c r="G42" i="2"/>
  <c r="F42" i="2"/>
  <c r="G43" i="2"/>
  <c r="F43" i="2"/>
  <c r="G44" i="2"/>
  <c r="F44" i="2"/>
  <c r="G45" i="2"/>
  <c r="F45" i="2"/>
  <c r="G46" i="2"/>
  <c r="F46" i="2"/>
  <c r="G47" i="2"/>
  <c r="F47" i="2"/>
  <c r="G48" i="2"/>
  <c r="F48" i="2"/>
  <c r="G49" i="2"/>
  <c r="F49" i="2"/>
  <c r="G50" i="2"/>
  <c r="F50" i="2"/>
  <c r="G51" i="2"/>
  <c r="F51" i="2"/>
  <c r="G52" i="2"/>
  <c r="F52" i="2"/>
  <c r="G53" i="2"/>
  <c r="F53" i="2"/>
  <c r="G54" i="2"/>
  <c r="F54" i="2"/>
  <c r="G55" i="2"/>
  <c r="F55" i="2"/>
  <c r="G56" i="2"/>
  <c r="F56" i="2"/>
  <c r="G57" i="2"/>
  <c r="F57" i="2"/>
  <c r="G58" i="2"/>
  <c r="F58" i="2"/>
  <c r="G59" i="2"/>
  <c r="F59" i="2"/>
  <c r="G60" i="2"/>
  <c r="F60" i="2"/>
  <c r="G61" i="2"/>
  <c r="F61" i="2"/>
  <c r="G62" i="2"/>
  <c r="F62" i="2"/>
  <c r="G63" i="2"/>
  <c r="F63" i="2"/>
  <c r="G2" i="2"/>
  <c r="F2" i="2"/>
  <c r="F232" i="2"/>
  <c r="F231" i="2"/>
  <c r="F226" i="2"/>
  <c r="F224" i="2"/>
  <c r="F223" i="2"/>
  <c r="F220" i="2"/>
  <c r="F218" i="2"/>
  <c r="F217" i="2"/>
  <c r="F216" i="2"/>
  <c r="F215" i="2"/>
  <c r="F212" i="2"/>
  <c r="F211" i="2"/>
  <c r="F210" i="2"/>
  <c r="F209" i="2"/>
  <c r="F206" i="2"/>
  <c r="F201" i="2"/>
  <c r="F200" i="2"/>
  <c r="F199" i="2"/>
  <c r="F197" i="2"/>
  <c r="F196" i="2"/>
  <c r="F192" i="2"/>
  <c r="F188" i="2"/>
  <c r="F183" i="2"/>
  <c r="F181" i="2"/>
  <c r="F180" i="2"/>
  <c r="F179" i="2"/>
  <c r="F176" i="2"/>
  <c r="F171" i="2"/>
  <c r="F169" i="2"/>
  <c r="F168" i="2"/>
  <c r="F164" i="2"/>
  <c r="F163" i="2"/>
  <c r="F162" i="2"/>
  <c r="F156" i="2"/>
  <c r="A62" i="1"/>
  <c r="A53" i="1"/>
  <c r="A54" i="1"/>
  <c r="A55" i="1"/>
  <c r="A56" i="1"/>
  <c r="A57" i="1"/>
  <c r="A58" i="1"/>
  <c r="A59" i="1"/>
  <c r="A60" i="1"/>
  <c r="A61" i="1"/>
  <c r="A51" i="1"/>
  <c r="A52" i="1"/>
  <c r="A43" i="1"/>
  <c r="A44" i="1"/>
  <c r="A45" i="1"/>
  <c r="A46" i="1"/>
  <c r="A47" i="1"/>
  <c r="A48" i="1"/>
  <c r="A49" i="1"/>
  <c r="A50" i="1"/>
  <c r="L3" i="6"/>
  <c r="S8" i="1"/>
  <c r="S11" i="5"/>
  <c r="S10" i="5"/>
  <c r="D3" i="5"/>
  <c r="G243" i="5"/>
  <c r="H243" i="5"/>
  <c r="I243" i="5"/>
  <c r="G244" i="5"/>
  <c r="H244" i="5"/>
  <c r="I244" i="5"/>
  <c r="G245" i="5"/>
  <c r="H245" i="5"/>
  <c r="I245" i="5"/>
  <c r="G246" i="5"/>
  <c r="H246" i="5"/>
  <c r="I246" i="5"/>
  <c r="G247" i="5"/>
  <c r="H247" i="5"/>
  <c r="I247" i="5"/>
  <c r="G248" i="5"/>
  <c r="S9" i="5"/>
  <c r="A15" i="5"/>
  <c r="A27" i="5"/>
  <c r="A39" i="5"/>
  <c r="B3" i="5"/>
  <c r="T9" i="1"/>
  <c r="S12" i="5"/>
  <c r="C3" i="5"/>
  <c r="D4" i="5"/>
  <c r="A51" i="5"/>
  <c r="A63" i="5"/>
  <c r="A75" i="5"/>
  <c r="A87" i="5"/>
  <c r="A99" i="5"/>
  <c r="A111" i="5"/>
  <c r="A123" i="5"/>
  <c r="A135" i="5"/>
  <c r="A147" i="5"/>
  <c r="A159" i="5"/>
  <c r="A171" i="5"/>
  <c r="A183" i="5"/>
  <c r="A195" i="5"/>
  <c r="A207" i="5"/>
  <c r="A219" i="5"/>
  <c r="A231" i="5"/>
  <c r="A243" i="5"/>
  <c r="G3" i="5"/>
  <c r="H3" i="5"/>
  <c r="S13" i="5"/>
  <c r="K3" i="5"/>
  <c r="L3" i="5"/>
  <c r="B15" i="5"/>
  <c r="C15" i="5"/>
  <c r="H2" i="4"/>
  <c r="K2" i="2"/>
  <c r="T25" i="1"/>
  <c r="C16" i="5"/>
  <c r="C17" i="5"/>
  <c r="C18" i="5"/>
  <c r="C19" i="5"/>
  <c r="C20" i="5"/>
  <c r="C21" i="5"/>
  <c r="C22" i="5"/>
  <c r="C23" i="5"/>
  <c r="C24" i="5"/>
  <c r="C25" i="5"/>
  <c r="C26" i="5"/>
  <c r="A244" i="5"/>
  <c r="J243" i="5"/>
  <c r="T24" i="5"/>
  <c r="C4" i="5"/>
  <c r="D5" i="5"/>
  <c r="G15" i="5"/>
  <c r="H15" i="5"/>
  <c r="K15" i="5"/>
  <c r="B27" i="5"/>
  <c r="C27" i="5"/>
  <c r="C28" i="5"/>
  <c r="C29" i="5"/>
  <c r="C30" i="5"/>
  <c r="C31" i="5"/>
  <c r="C32" i="5"/>
  <c r="C33" i="5"/>
  <c r="C34" i="5"/>
  <c r="C35" i="5"/>
  <c r="C36" i="5"/>
  <c r="C37" i="5"/>
  <c r="C38" i="5"/>
  <c r="M3" i="5"/>
  <c r="I3" i="5"/>
  <c r="E3" i="5"/>
  <c r="G28" i="1"/>
  <c r="C5" i="5"/>
  <c r="C6" i="5"/>
  <c r="B39" i="5"/>
  <c r="L15" i="5"/>
  <c r="J244" i="5"/>
  <c r="A245" i="5"/>
  <c r="E4" i="5"/>
  <c r="M15" i="5"/>
  <c r="N15" i="5"/>
  <c r="J3" i="5"/>
  <c r="G27" i="5"/>
  <c r="H27" i="5"/>
  <c r="K27" i="5"/>
  <c r="I15" i="5"/>
  <c r="J15" i="5"/>
  <c r="N3" i="5"/>
  <c r="F3" i="5"/>
  <c r="F4" i="5"/>
  <c r="F5" i="5"/>
  <c r="F6" i="5"/>
  <c r="F7" i="5"/>
  <c r="F8" i="5"/>
  <c r="F9" i="5"/>
  <c r="F10" i="5"/>
  <c r="F11" i="5"/>
  <c r="F12" i="5"/>
  <c r="F13" i="5"/>
  <c r="F14" i="5"/>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C3" i="1"/>
  <c r="D3" i="1"/>
  <c r="G3" i="1"/>
  <c r="H3" i="1"/>
  <c r="D6" i="5"/>
  <c r="D7" i="5"/>
  <c r="B51" i="5"/>
  <c r="C51" i="5"/>
  <c r="C52" i="5"/>
  <c r="C53" i="5"/>
  <c r="C54" i="5"/>
  <c r="C55" i="5"/>
  <c r="C56" i="5"/>
  <c r="C57" i="5"/>
  <c r="C58" i="5"/>
  <c r="C59" i="5"/>
  <c r="C60" i="5"/>
  <c r="C61" i="5"/>
  <c r="C62" i="5"/>
  <c r="C39" i="5"/>
  <c r="A246" i="5"/>
  <c r="J245" i="5"/>
  <c r="E5" i="5"/>
  <c r="C7" i="5"/>
  <c r="I27" i="5"/>
  <c r="M27" i="5"/>
  <c r="L27" i="5"/>
  <c r="C40" i="5"/>
  <c r="C41" i="5"/>
  <c r="C42" i="5"/>
  <c r="C43" i="5"/>
  <c r="C44" i="5"/>
  <c r="C45" i="5"/>
  <c r="C46" i="5"/>
  <c r="C47" i="5"/>
  <c r="C48" i="5"/>
  <c r="C49" i="5"/>
  <c r="C50" i="5"/>
  <c r="F39" i="5"/>
  <c r="D8" i="5"/>
  <c r="K51" i="5"/>
  <c r="L51" i="5"/>
  <c r="B63" i="5"/>
  <c r="C63" i="5"/>
  <c r="C64" i="5"/>
  <c r="C65" i="5"/>
  <c r="C66" i="5"/>
  <c r="C67" i="5"/>
  <c r="C68" i="5"/>
  <c r="C69" i="5"/>
  <c r="C70" i="5"/>
  <c r="C71" i="5"/>
  <c r="C72" i="5"/>
  <c r="C73" i="5"/>
  <c r="C74" i="5"/>
  <c r="G51" i="5"/>
  <c r="H51" i="5"/>
  <c r="I51" i="5"/>
  <c r="J51" i="5"/>
  <c r="E6" i="5"/>
  <c r="B75" i="5"/>
  <c r="C75" i="5"/>
  <c r="C76" i="5"/>
  <c r="C77" i="5"/>
  <c r="C78" i="5"/>
  <c r="C79" i="5"/>
  <c r="C80" i="5"/>
  <c r="C81" i="5"/>
  <c r="C82" i="5"/>
  <c r="C83" i="5"/>
  <c r="C84" i="5"/>
  <c r="C85" i="5"/>
  <c r="C86" i="5"/>
  <c r="G63" i="5"/>
  <c r="K63" i="5"/>
  <c r="A247" i="5"/>
  <c r="J246" i="5"/>
  <c r="C8" i="5"/>
  <c r="E7" i="5"/>
  <c r="N27" i="5"/>
  <c r="J27" i="5"/>
  <c r="G4" i="1"/>
  <c r="H4" i="1"/>
  <c r="I4" i="1"/>
  <c r="J4" i="1"/>
  <c r="I3" i="1"/>
  <c r="J3" i="1"/>
  <c r="L4" i="1"/>
  <c r="N3" i="1"/>
  <c r="M51" i="5"/>
  <c r="N51" i="5"/>
  <c r="H63" i="5"/>
  <c r="I63" i="5"/>
  <c r="J63" i="5"/>
  <c r="D9" i="5"/>
  <c r="L63" i="5"/>
  <c r="K75" i="5"/>
  <c r="G75" i="5"/>
  <c r="B87" i="5"/>
  <c r="C87" i="5"/>
  <c r="C88" i="5"/>
  <c r="C89" i="5"/>
  <c r="C90" i="5"/>
  <c r="C91" i="5"/>
  <c r="C92" i="5"/>
  <c r="C93" i="5"/>
  <c r="C94" i="5"/>
  <c r="C95" i="5"/>
  <c r="C96" i="5"/>
  <c r="C97" i="5"/>
  <c r="C98" i="5"/>
  <c r="A248" i="5"/>
  <c r="A249" i="5"/>
  <c r="A250" i="5"/>
  <c r="A251" i="5"/>
  <c r="A252" i="5"/>
  <c r="A253" i="5"/>
  <c r="A254" i="5"/>
  <c r="A255" i="5"/>
  <c r="A256" i="5"/>
  <c r="A257" i="5"/>
  <c r="A258" i="5"/>
  <c r="A259" i="5"/>
  <c r="A260" i="5"/>
  <c r="A261" i="5"/>
  <c r="A262" i="5"/>
  <c r="J247" i="5"/>
  <c r="C9" i="5"/>
  <c r="E8" i="5"/>
  <c r="G5" i="1"/>
  <c r="H5" i="1"/>
  <c r="I5" i="1"/>
  <c r="J5" i="1"/>
  <c r="H75" i="5"/>
  <c r="I75" i="5"/>
  <c r="J75" i="5"/>
  <c r="M63" i="5"/>
  <c r="N63" i="5"/>
  <c r="D10" i="5"/>
  <c r="L75" i="5"/>
  <c r="B99" i="5"/>
  <c r="C99" i="5"/>
  <c r="C100" i="5"/>
  <c r="C101" i="5"/>
  <c r="C102" i="5"/>
  <c r="C103" i="5"/>
  <c r="C104" i="5"/>
  <c r="C105" i="5"/>
  <c r="C106" i="5"/>
  <c r="C107" i="5"/>
  <c r="C108" i="5"/>
  <c r="C109" i="5"/>
  <c r="C110" i="5"/>
  <c r="K87" i="5"/>
  <c r="G87" i="5"/>
  <c r="C10" i="5"/>
  <c r="E9" i="5"/>
  <c r="L5" i="1"/>
  <c r="L6" i="1"/>
  <c r="G6" i="1"/>
  <c r="H6" i="1"/>
  <c r="I6" i="1"/>
  <c r="J6" i="1"/>
  <c r="H87" i="5"/>
  <c r="I87" i="5"/>
  <c r="J87" i="5"/>
  <c r="M75" i="5"/>
  <c r="N75" i="5"/>
  <c r="D11" i="5"/>
  <c r="L87" i="5"/>
  <c r="K99" i="5"/>
  <c r="G99" i="5"/>
  <c r="B111" i="5"/>
  <c r="C111" i="5"/>
  <c r="C112" i="5"/>
  <c r="C113" i="5"/>
  <c r="C114" i="5"/>
  <c r="C115" i="5"/>
  <c r="C116" i="5"/>
  <c r="C117" i="5"/>
  <c r="C118" i="5"/>
  <c r="C119" i="5"/>
  <c r="C120" i="5"/>
  <c r="C121" i="5"/>
  <c r="C122" i="5"/>
  <c r="C11" i="5"/>
  <c r="E10" i="5"/>
  <c r="G7" i="1"/>
  <c r="H7" i="1"/>
  <c r="I7" i="1"/>
  <c r="J7" i="1"/>
  <c r="C8" i="1"/>
  <c r="H99" i="5"/>
  <c r="I99" i="5"/>
  <c r="J99" i="5"/>
  <c r="M87" i="5"/>
  <c r="N87" i="5"/>
  <c r="D12" i="5"/>
  <c r="K111" i="5"/>
  <c r="B123" i="5"/>
  <c r="C123" i="5"/>
  <c r="C124" i="5"/>
  <c r="C125" i="5"/>
  <c r="C126" i="5"/>
  <c r="C127" i="5"/>
  <c r="C128" i="5"/>
  <c r="C129" i="5"/>
  <c r="C130" i="5"/>
  <c r="C131" i="5"/>
  <c r="C132" i="5"/>
  <c r="C133" i="5"/>
  <c r="C134" i="5"/>
  <c r="G111" i="5"/>
  <c r="H111" i="5"/>
  <c r="I111" i="5"/>
  <c r="J111" i="5"/>
  <c r="L99" i="5"/>
  <c r="C12" i="5"/>
  <c r="E11" i="5"/>
  <c r="L7" i="1"/>
  <c r="G8" i="1"/>
  <c r="H8" i="1"/>
  <c r="I8" i="1"/>
  <c r="J8" i="1"/>
  <c r="M99" i="5"/>
  <c r="N99" i="5"/>
  <c r="D13" i="5"/>
  <c r="L111" i="5"/>
  <c r="G123" i="5"/>
  <c r="H123" i="5"/>
  <c r="B135" i="5"/>
  <c r="C135" i="5"/>
  <c r="C136" i="5"/>
  <c r="C137" i="5"/>
  <c r="C138" i="5"/>
  <c r="C139" i="5"/>
  <c r="C140" i="5"/>
  <c r="C141" i="5"/>
  <c r="C142" i="5"/>
  <c r="C143" i="5"/>
  <c r="C144" i="5"/>
  <c r="C145" i="5"/>
  <c r="C146" i="5"/>
  <c r="K123" i="5"/>
  <c r="C13" i="5"/>
  <c r="E12" i="5"/>
  <c r="L8" i="1"/>
  <c r="G9" i="1"/>
  <c r="H9" i="1"/>
  <c r="I9" i="1"/>
  <c r="J9" i="1"/>
  <c r="M111" i="5"/>
  <c r="N111" i="5"/>
  <c r="D14" i="5"/>
  <c r="L123" i="5"/>
  <c r="B147" i="5"/>
  <c r="C147" i="5"/>
  <c r="C148" i="5"/>
  <c r="C149" i="5"/>
  <c r="C150" i="5"/>
  <c r="C151" i="5"/>
  <c r="C152" i="5"/>
  <c r="C153" i="5"/>
  <c r="C154" i="5"/>
  <c r="C155" i="5"/>
  <c r="C156" i="5"/>
  <c r="C157" i="5"/>
  <c r="C158" i="5"/>
  <c r="G135" i="5"/>
  <c r="H135" i="5"/>
  <c r="I135" i="5"/>
  <c r="J135" i="5"/>
  <c r="K135" i="5"/>
  <c r="I123" i="5"/>
  <c r="J123" i="5"/>
  <c r="C14" i="5"/>
  <c r="E13" i="5"/>
  <c r="L9" i="1"/>
  <c r="G10" i="1"/>
  <c r="H10" i="1"/>
  <c r="I10" i="1"/>
  <c r="J10" i="1"/>
  <c r="M123" i="5"/>
  <c r="N123"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L135" i="5"/>
  <c r="G147" i="5"/>
  <c r="H147" i="5"/>
  <c r="I147" i="5"/>
  <c r="J147" i="5"/>
  <c r="B159" i="5"/>
  <c r="C159" i="5"/>
  <c r="C160" i="5"/>
  <c r="C161" i="5"/>
  <c r="C162" i="5"/>
  <c r="C163" i="5"/>
  <c r="C164" i="5"/>
  <c r="C165" i="5"/>
  <c r="C166" i="5"/>
  <c r="C167" i="5"/>
  <c r="C168" i="5"/>
  <c r="C169" i="5"/>
  <c r="C170" i="5"/>
  <c r="K147" i="5"/>
  <c r="E14" i="5"/>
  <c r="L10" i="1"/>
  <c r="G11" i="1"/>
  <c r="H11" i="1"/>
  <c r="I11" i="1"/>
  <c r="J11" i="1"/>
  <c r="M135" i="5"/>
  <c r="N135" i="5"/>
  <c r="D160" i="5"/>
  <c r="D161" i="5"/>
  <c r="D162" i="5"/>
  <c r="D163" i="5"/>
  <c r="D164" i="5"/>
  <c r="D165" i="5"/>
  <c r="D166" i="5"/>
  <c r="D167" i="5"/>
  <c r="D168" i="5"/>
  <c r="D169" i="5"/>
  <c r="D170" i="5"/>
  <c r="D171" i="5"/>
  <c r="E15" i="5"/>
  <c r="F15" i="5"/>
  <c r="F16" i="5"/>
  <c r="F17" i="5"/>
  <c r="F18" i="5"/>
  <c r="F19" i="5"/>
  <c r="F20" i="5"/>
  <c r="F21" i="5"/>
  <c r="F22" i="5"/>
  <c r="F23" i="5"/>
  <c r="F24" i="5"/>
  <c r="F25" i="5"/>
  <c r="F26" i="5"/>
  <c r="E16" i="5"/>
  <c r="K159" i="5"/>
  <c r="G159" i="5"/>
  <c r="H159" i="5"/>
  <c r="I159" i="5"/>
  <c r="J159" i="5"/>
  <c r="B171" i="5"/>
  <c r="C171" i="5"/>
  <c r="C172" i="5"/>
  <c r="C173" i="5"/>
  <c r="C174" i="5"/>
  <c r="C175" i="5"/>
  <c r="C176" i="5"/>
  <c r="C177" i="5"/>
  <c r="C178" i="5"/>
  <c r="C179" i="5"/>
  <c r="C180" i="5"/>
  <c r="C181" i="5"/>
  <c r="C182" i="5"/>
  <c r="L147" i="5"/>
  <c r="L11" i="1"/>
  <c r="G12" i="1"/>
  <c r="H12" i="1"/>
  <c r="I12" i="1"/>
  <c r="J12" i="1"/>
  <c r="D172" i="5"/>
  <c r="D173" i="5"/>
  <c r="D174" i="5"/>
  <c r="D175" i="5"/>
  <c r="D176" i="5"/>
  <c r="D177" i="5"/>
  <c r="D178" i="5"/>
  <c r="D179" i="5"/>
  <c r="D180" i="5"/>
  <c r="D181" i="5"/>
  <c r="D182" i="5"/>
  <c r="D183" i="5"/>
  <c r="M147" i="5"/>
  <c r="N147" i="5"/>
  <c r="E17" i="5"/>
  <c r="L159" i="5"/>
  <c r="K171" i="5"/>
  <c r="G171" i="5"/>
  <c r="H171" i="5"/>
  <c r="I171" i="5"/>
  <c r="J171" i="5"/>
  <c r="L12" i="1"/>
  <c r="G13" i="1"/>
  <c r="H13" i="1"/>
  <c r="I13" i="1"/>
  <c r="J13" i="1"/>
  <c r="M159" i="5"/>
  <c r="N159" i="5"/>
  <c r="E18" i="5"/>
  <c r="L171" i="5"/>
  <c r="B183" i="5"/>
  <c r="C183" i="5"/>
  <c r="L13" i="1"/>
  <c r="G14" i="1"/>
  <c r="H14" i="1"/>
  <c r="I14" i="1"/>
  <c r="J14" i="1"/>
  <c r="M171" i="5"/>
  <c r="N171" i="5"/>
  <c r="C184" i="5"/>
  <c r="C185" i="5"/>
  <c r="C186" i="5"/>
  <c r="C187" i="5"/>
  <c r="C188" i="5"/>
  <c r="C189" i="5"/>
  <c r="C190" i="5"/>
  <c r="C191" i="5"/>
  <c r="C192" i="5"/>
  <c r="C193" i="5"/>
  <c r="C194" i="5"/>
  <c r="D184" i="5"/>
  <c r="B195" i="5"/>
  <c r="C195" i="5"/>
  <c r="C196" i="5"/>
  <c r="C197" i="5"/>
  <c r="C198" i="5"/>
  <c r="C199" i="5"/>
  <c r="C200" i="5"/>
  <c r="C201" i="5"/>
  <c r="C202" i="5"/>
  <c r="C203" i="5"/>
  <c r="C204" i="5"/>
  <c r="C205" i="5"/>
  <c r="C206" i="5"/>
  <c r="E19" i="5"/>
  <c r="K183" i="5"/>
  <c r="G183" i="5"/>
  <c r="H183" i="5"/>
  <c r="L14" i="1"/>
  <c r="G15" i="1"/>
  <c r="H15" i="1"/>
  <c r="I15" i="1"/>
  <c r="J15" i="1"/>
  <c r="D185" i="5"/>
  <c r="D186" i="5"/>
  <c r="D187" i="5"/>
  <c r="D188" i="5"/>
  <c r="D189" i="5"/>
  <c r="D190" i="5"/>
  <c r="D191" i="5"/>
  <c r="D192" i="5"/>
  <c r="D193" i="5"/>
  <c r="D194" i="5"/>
  <c r="D195" i="5"/>
  <c r="D196" i="5"/>
  <c r="D197" i="5"/>
  <c r="D198" i="5"/>
  <c r="D199" i="5"/>
  <c r="D200" i="5"/>
  <c r="D201" i="5"/>
  <c r="D202" i="5"/>
  <c r="D203" i="5"/>
  <c r="D204" i="5"/>
  <c r="D205" i="5"/>
  <c r="D206" i="5"/>
  <c r="D207" i="5"/>
  <c r="G195" i="5"/>
  <c r="H195" i="5"/>
  <c r="I195" i="5"/>
  <c r="J195" i="5"/>
  <c r="B207" i="5"/>
  <c r="C207" i="5"/>
  <c r="C208" i="5"/>
  <c r="C209" i="5"/>
  <c r="C210" i="5"/>
  <c r="C211" i="5"/>
  <c r="C212" i="5"/>
  <c r="C213" i="5"/>
  <c r="C214" i="5"/>
  <c r="C215" i="5"/>
  <c r="C216" i="5"/>
  <c r="C217" i="5"/>
  <c r="C218" i="5"/>
  <c r="K195" i="5"/>
  <c r="E20" i="5"/>
  <c r="M183" i="5"/>
  <c r="N183" i="5"/>
  <c r="I183" i="5"/>
  <c r="J183" i="5"/>
  <c r="L183" i="5"/>
  <c r="L15" i="1"/>
  <c r="G16" i="1"/>
  <c r="H16" i="1"/>
  <c r="I16" i="1"/>
  <c r="J16" i="1"/>
  <c r="D208" i="5"/>
  <c r="D209" i="5"/>
  <c r="D210" i="5"/>
  <c r="D211" i="5"/>
  <c r="D212" i="5"/>
  <c r="D213" i="5"/>
  <c r="D214" i="5"/>
  <c r="D215" i="5"/>
  <c r="D216" i="5"/>
  <c r="D217" i="5"/>
  <c r="D218" i="5"/>
  <c r="D219" i="5"/>
  <c r="K207" i="5"/>
  <c r="B219" i="5"/>
  <c r="C219" i="5"/>
  <c r="C220" i="5"/>
  <c r="C221" i="5"/>
  <c r="C222" i="5"/>
  <c r="C223" i="5"/>
  <c r="C224" i="5"/>
  <c r="C225" i="5"/>
  <c r="C226" i="5"/>
  <c r="C227" i="5"/>
  <c r="C228" i="5"/>
  <c r="C229" i="5"/>
  <c r="C230" i="5"/>
  <c r="G207" i="5"/>
  <c r="H207" i="5"/>
  <c r="I207" i="5"/>
  <c r="J207" i="5"/>
  <c r="L195" i="5"/>
  <c r="E21" i="5"/>
  <c r="M195" i="5"/>
  <c r="N195" i="5"/>
  <c r="K219" i="5"/>
  <c r="L16" i="1"/>
  <c r="G17" i="1"/>
  <c r="H17" i="1"/>
  <c r="I17" i="1"/>
  <c r="J17" i="1"/>
  <c r="D220" i="5"/>
  <c r="D221" i="5"/>
  <c r="D222" i="5"/>
  <c r="D223" i="5"/>
  <c r="D224" i="5"/>
  <c r="D225" i="5"/>
  <c r="D226" i="5"/>
  <c r="D227" i="5"/>
  <c r="D228" i="5"/>
  <c r="D229" i="5"/>
  <c r="D230" i="5"/>
  <c r="D231" i="5"/>
  <c r="G219" i="5"/>
  <c r="H219" i="5"/>
  <c r="I219" i="5"/>
  <c r="J219" i="5"/>
  <c r="B231" i="5"/>
  <c r="C231" i="5"/>
  <c r="C232" i="5"/>
  <c r="C233" i="5"/>
  <c r="C234" i="5"/>
  <c r="C235" i="5"/>
  <c r="C236" i="5"/>
  <c r="C237" i="5"/>
  <c r="C238" i="5"/>
  <c r="C239" i="5"/>
  <c r="C240" i="5"/>
  <c r="C241" i="5"/>
  <c r="C242" i="5"/>
  <c r="L207" i="5"/>
  <c r="E22" i="5"/>
  <c r="M207" i="5"/>
  <c r="N207" i="5"/>
  <c r="L219" i="5"/>
  <c r="L17" i="1"/>
  <c r="G18" i="1"/>
  <c r="H18" i="1"/>
  <c r="I18" i="1"/>
  <c r="J18" i="1"/>
  <c r="D232" i="5"/>
  <c r="D233" i="5"/>
  <c r="D234" i="5"/>
  <c r="D235" i="5"/>
  <c r="D236" i="5"/>
  <c r="D237" i="5"/>
  <c r="D238" i="5"/>
  <c r="D239" i="5"/>
  <c r="D240" i="5"/>
  <c r="D241" i="5"/>
  <c r="D242" i="5"/>
  <c r="B243" i="5"/>
  <c r="B244" i="5"/>
  <c r="G231" i="5"/>
  <c r="H231" i="5"/>
  <c r="I231" i="5"/>
  <c r="J231" i="5"/>
  <c r="K231" i="5"/>
  <c r="L231" i="5"/>
  <c r="E23" i="5"/>
  <c r="M219" i="5"/>
  <c r="N219" i="5"/>
  <c r="L18" i="1"/>
  <c r="G19" i="1"/>
  <c r="H19" i="1"/>
  <c r="I19" i="1"/>
  <c r="J19" i="1"/>
  <c r="K243" i="5"/>
  <c r="L243" i="5"/>
  <c r="E24" i="5"/>
  <c r="M231" i="5"/>
  <c r="N231" i="5"/>
  <c r="K244" i="5"/>
  <c r="B245" i="5"/>
  <c r="J263" i="5"/>
  <c r="R24" i="5"/>
  <c r="I263" i="5"/>
  <c r="L19" i="1"/>
  <c r="G20" i="1"/>
  <c r="H20" i="1"/>
  <c r="I20" i="1"/>
  <c r="J20" i="1"/>
  <c r="E25" i="5"/>
  <c r="B246" i="5"/>
  <c r="K245" i="5"/>
  <c r="M243" i="5"/>
  <c r="N243" i="5"/>
  <c r="L244" i="5"/>
  <c r="L20" i="1"/>
  <c r="G21" i="1"/>
  <c r="H21" i="1"/>
  <c r="I21" i="1"/>
  <c r="J21" i="1"/>
  <c r="E26" i="5"/>
  <c r="L245" i="5"/>
  <c r="M244" i="5"/>
  <c r="N244" i="5"/>
  <c r="B247" i="5"/>
  <c r="K246" i="5"/>
  <c r="L21" i="1"/>
  <c r="G22" i="1"/>
  <c r="H22" i="1"/>
  <c r="I22" i="1"/>
  <c r="G23" i="1"/>
  <c r="H23" i="1"/>
  <c r="E27" i="5"/>
  <c r="F27" i="5"/>
  <c r="F28" i="5"/>
  <c r="F29" i="5"/>
  <c r="F30" i="5"/>
  <c r="F31" i="5"/>
  <c r="F32" i="5"/>
  <c r="F33" i="5"/>
  <c r="F34" i="5"/>
  <c r="F35" i="5"/>
  <c r="F36" i="5"/>
  <c r="F37" i="5"/>
  <c r="F38" i="5"/>
  <c r="K247" i="5"/>
  <c r="B248" i="5"/>
  <c r="L246" i="5"/>
  <c r="M245" i="5"/>
  <c r="N245" i="5"/>
  <c r="J22" i="1"/>
  <c r="L22" i="1"/>
  <c r="L23" i="1"/>
  <c r="G24" i="1"/>
  <c r="H24" i="1"/>
  <c r="E28" i="5"/>
  <c r="L247" i="5"/>
  <c r="B249" i="5"/>
  <c r="K249" i="5"/>
  <c r="K248" i="5"/>
  <c r="M246" i="5"/>
  <c r="N246" i="5"/>
  <c r="I23" i="1"/>
  <c r="J23" i="1"/>
  <c r="L24" i="1"/>
  <c r="G25" i="1"/>
  <c r="H25" i="1"/>
  <c r="E29" i="5"/>
  <c r="M247" i="5"/>
  <c r="N247" i="5"/>
  <c r="L248" i="5"/>
  <c r="L249" i="5"/>
  <c r="I24" i="1"/>
  <c r="J24" i="1"/>
  <c r="L25" i="1"/>
  <c r="G26" i="1"/>
  <c r="H26" i="1"/>
  <c r="E30" i="5"/>
  <c r="M248" i="5"/>
  <c r="N248" i="5"/>
  <c r="B250" i="5"/>
  <c r="B251" i="5"/>
  <c r="I25" i="1"/>
  <c r="J25" i="1"/>
  <c r="L26" i="1"/>
  <c r="G27" i="1"/>
  <c r="H27" i="1"/>
  <c r="I27" i="1"/>
  <c r="E31" i="5"/>
  <c r="M249" i="5"/>
  <c r="N249" i="5"/>
  <c r="K251" i="5"/>
  <c r="B252" i="5"/>
  <c r="K250" i="5"/>
  <c r="I26" i="1"/>
  <c r="J26" i="1"/>
  <c r="L27" i="1"/>
  <c r="E32" i="5"/>
  <c r="K252" i="5"/>
  <c r="B253" i="5"/>
  <c r="M250" i="5"/>
  <c r="N250" i="5"/>
  <c r="L250" i="5"/>
  <c r="L251" i="5"/>
  <c r="I63" i="1"/>
  <c r="R25" i="1"/>
  <c r="J27" i="1"/>
  <c r="J63" i="1"/>
  <c r="R24" i="1"/>
  <c r="E33" i="5"/>
  <c r="L252" i="5"/>
  <c r="M251" i="5"/>
  <c r="N251" i="5"/>
  <c r="B254" i="5"/>
  <c r="K253" i="5"/>
  <c r="L28" i="1"/>
  <c r="E34" i="5"/>
  <c r="L253" i="5"/>
  <c r="M252" i="5"/>
  <c r="N252" i="5"/>
  <c r="B255" i="5"/>
  <c r="K254" i="5"/>
  <c r="L29" i="1"/>
  <c r="E35" i="5"/>
  <c r="M253" i="5"/>
  <c r="N253" i="5"/>
  <c r="B256" i="5"/>
  <c r="K255" i="5"/>
  <c r="L254" i="5"/>
  <c r="L30" i="1"/>
  <c r="E36" i="5"/>
  <c r="M254" i="5"/>
  <c r="N254" i="5"/>
  <c r="L255" i="5"/>
  <c r="K256" i="5"/>
  <c r="B257" i="5"/>
  <c r="L31" i="1"/>
  <c r="E37" i="5"/>
  <c r="M255" i="5"/>
  <c r="N255" i="5"/>
  <c r="K257" i="5"/>
  <c r="B258" i="5"/>
  <c r="L256" i="5"/>
  <c r="L32" i="1"/>
  <c r="E38" i="5"/>
  <c r="M256" i="5"/>
  <c r="N256" i="5"/>
  <c r="L257" i="5"/>
  <c r="B259" i="5"/>
  <c r="K258" i="5"/>
  <c r="L33" i="1"/>
  <c r="E39" i="5"/>
  <c r="M257" i="5"/>
  <c r="N257" i="5"/>
  <c r="B260" i="5"/>
  <c r="K259" i="5"/>
  <c r="L258" i="5"/>
  <c r="L34" i="1"/>
  <c r="E40" i="5"/>
  <c r="E51" i="5"/>
  <c r="F51" i="5"/>
  <c r="M258" i="5"/>
  <c r="N258" i="5"/>
  <c r="L259" i="5"/>
  <c r="B261" i="5"/>
  <c r="K261" i="5"/>
  <c r="K260" i="5"/>
  <c r="L35" i="1"/>
  <c r="E63" i="5"/>
  <c r="F63" i="5"/>
  <c r="E41" i="5"/>
  <c r="E52" i="5"/>
  <c r="M259" i="5"/>
  <c r="N259" i="5"/>
  <c r="L260" i="5"/>
  <c r="L261" i="5"/>
  <c r="L36" i="1"/>
  <c r="E64" i="5"/>
  <c r="E53" i="5"/>
  <c r="E42" i="5"/>
  <c r="E75" i="5"/>
  <c r="F75" i="5"/>
  <c r="M260" i="5"/>
  <c r="N260" i="5"/>
  <c r="B262" i="5"/>
  <c r="K262" i="5"/>
  <c r="L37" i="1"/>
  <c r="E43" i="5"/>
  <c r="E54" i="5"/>
  <c r="E87" i="5"/>
  <c r="F87" i="5"/>
  <c r="E76" i="5"/>
  <c r="E65" i="5"/>
  <c r="M261" i="5"/>
  <c r="N261" i="5"/>
  <c r="L262" i="5"/>
  <c r="L38" i="1"/>
  <c r="E44" i="5"/>
  <c r="E88" i="5"/>
  <c r="E55" i="5"/>
  <c r="E77" i="5"/>
  <c r="E99" i="5"/>
  <c r="F99" i="5"/>
  <c r="E66" i="5"/>
  <c r="M262" i="5"/>
  <c r="N262" i="5"/>
  <c r="N263" i="5"/>
  <c r="S24" i="5"/>
  <c r="L39" i="1"/>
  <c r="E78" i="5"/>
  <c r="E56" i="5"/>
  <c r="E67" i="5"/>
  <c r="E111" i="5"/>
  <c r="F111" i="5"/>
  <c r="E89" i="5"/>
  <c r="E100" i="5"/>
  <c r="E45" i="5"/>
  <c r="M263" i="5"/>
  <c r="L40" i="1"/>
  <c r="E112" i="5"/>
  <c r="E46" i="5"/>
  <c r="E68" i="5"/>
  <c r="E123" i="5"/>
  <c r="F123" i="5"/>
  <c r="E101" i="5"/>
  <c r="E57" i="5"/>
  <c r="E90" i="5"/>
  <c r="E79" i="5"/>
  <c r="L41" i="1"/>
  <c r="L42" i="1"/>
  <c r="E135" i="5"/>
  <c r="F135" i="5"/>
  <c r="E91" i="5"/>
  <c r="E69" i="5"/>
  <c r="E58" i="5"/>
  <c r="E47" i="5"/>
  <c r="E113" i="5"/>
  <c r="E80" i="5"/>
  <c r="E124" i="5"/>
  <c r="E102" i="5"/>
  <c r="L43" i="1"/>
  <c r="E125" i="5"/>
  <c r="E70" i="5"/>
  <c r="E114" i="5"/>
  <c r="E92" i="5"/>
  <c r="E136" i="5"/>
  <c r="E81" i="5"/>
  <c r="E147" i="5"/>
  <c r="F147" i="5"/>
  <c r="E59" i="5"/>
  <c r="E103" i="5"/>
  <c r="E48" i="5"/>
  <c r="L44" i="1"/>
  <c r="E93" i="5"/>
  <c r="E159" i="5"/>
  <c r="F159" i="5"/>
  <c r="E115" i="5"/>
  <c r="E148" i="5"/>
  <c r="E50" i="5"/>
  <c r="E49" i="5"/>
  <c r="E71" i="5"/>
  <c r="E60" i="5"/>
  <c r="E82" i="5"/>
  <c r="E104" i="5"/>
  <c r="E137" i="5"/>
  <c r="E126" i="5"/>
  <c r="L45" i="1"/>
  <c r="E127" i="5"/>
  <c r="E138" i="5"/>
  <c r="E72" i="5"/>
  <c r="E171" i="5"/>
  <c r="F171" i="5"/>
  <c r="E160" i="5"/>
  <c r="E83" i="5"/>
  <c r="E149" i="5"/>
  <c r="E62" i="5"/>
  <c r="E61" i="5"/>
  <c r="E116" i="5"/>
  <c r="E105" i="5"/>
  <c r="E94" i="5"/>
  <c r="L46" i="1"/>
  <c r="E183" i="5"/>
  <c r="F183" i="5"/>
  <c r="E95" i="5"/>
  <c r="E106" i="5"/>
  <c r="E84" i="5"/>
  <c r="E139" i="5"/>
  <c r="E172" i="5"/>
  <c r="E150" i="5"/>
  <c r="E73" i="5"/>
  <c r="E74" i="5"/>
  <c r="E117" i="5"/>
  <c r="E161" i="5"/>
  <c r="E128" i="5"/>
  <c r="L47" i="1"/>
  <c r="E86" i="5"/>
  <c r="E85" i="5"/>
  <c r="E151" i="5"/>
  <c r="E173" i="5"/>
  <c r="E96" i="5"/>
  <c r="E162" i="5"/>
  <c r="E195" i="5"/>
  <c r="F195" i="5"/>
  <c r="E129" i="5"/>
  <c r="E118" i="5"/>
  <c r="E140" i="5"/>
  <c r="E184" i="5"/>
  <c r="E107" i="5"/>
  <c r="L48" i="1"/>
  <c r="E119" i="5"/>
  <c r="E97" i="5"/>
  <c r="E98" i="5"/>
  <c r="E108" i="5"/>
  <c r="E185" i="5"/>
  <c r="E130" i="5"/>
  <c r="E174" i="5"/>
  <c r="E207" i="5"/>
  <c r="F207" i="5"/>
  <c r="E152" i="5"/>
  <c r="E196" i="5"/>
  <c r="E141" i="5"/>
  <c r="E163" i="5"/>
  <c r="L49" i="1"/>
  <c r="E153" i="5"/>
  <c r="E109" i="5"/>
  <c r="E110" i="5"/>
  <c r="E197" i="5"/>
  <c r="E131" i="5"/>
  <c r="E120" i="5"/>
  <c r="E186" i="5"/>
  <c r="E164" i="5"/>
  <c r="E219" i="5"/>
  <c r="F219" i="5"/>
  <c r="E208" i="5"/>
  <c r="E142" i="5"/>
  <c r="E175" i="5"/>
  <c r="L50" i="1"/>
  <c r="E176" i="5"/>
  <c r="E165" i="5"/>
  <c r="E187" i="5"/>
  <c r="E220" i="5"/>
  <c r="E198" i="5"/>
  <c r="E209" i="5"/>
  <c r="E143" i="5"/>
  <c r="E154" i="5"/>
  <c r="E132" i="5"/>
  <c r="E231" i="5"/>
  <c r="F231" i="5"/>
  <c r="F263" i="5"/>
  <c r="Q24" i="5"/>
  <c r="E121" i="5"/>
  <c r="E122" i="5"/>
  <c r="L51" i="1"/>
  <c r="E177" i="5"/>
  <c r="E221" i="5"/>
  <c r="E232" i="5"/>
  <c r="E210" i="5"/>
  <c r="E166" i="5"/>
  <c r="E155" i="5"/>
  <c r="E144" i="5"/>
  <c r="E188" i="5"/>
  <c r="E199" i="5"/>
  <c r="E133" i="5"/>
  <c r="E134" i="5"/>
  <c r="L52" i="1"/>
  <c r="E189" i="5"/>
  <c r="E146" i="5"/>
  <c r="E145" i="5"/>
  <c r="E222" i="5"/>
  <c r="E233" i="5"/>
  <c r="E178" i="5"/>
  <c r="E211" i="5"/>
  <c r="E156" i="5"/>
  <c r="E200" i="5"/>
  <c r="E167" i="5"/>
  <c r="L53" i="1"/>
  <c r="E179" i="5"/>
  <c r="E201" i="5"/>
  <c r="E158" i="5"/>
  <c r="E157" i="5"/>
  <c r="E212" i="5"/>
  <c r="E168" i="5"/>
  <c r="E190" i="5"/>
  <c r="E234" i="5"/>
  <c r="E223" i="5"/>
  <c r="L54" i="1"/>
  <c r="E213" i="5"/>
  <c r="E180" i="5"/>
  <c r="E224" i="5"/>
  <c r="E191" i="5"/>
  <c r="E202" i="5"/>
  <c r="E235" i="5"/>
  <c r="E170" i="5"/>
  <c r="E169" i="5"/>
  <c r="L55" i="1"/>
  <c r="E225" i="5"/>
  <c r="E192" i="5"/>
  <c r="E181" i="5"/>
  <c r="E182" i="5"/>
  <c r="E236" i="5"/>
  <c r="E203" i="5"/>
  <c r="E214" i="5"/>
  <c r="L56" i="1"/>
  <c r="E215" i="5"/>
  <c r="E194" i="5"/>
  <c r="E193" i="5"/>
  <c r="E226" i="5"/>
  <c r="E237" i="5"/>
  <c r="E204" i="5"/>
  <c r="L57" i="1"/>
  <c r="E238" i="5"/>
  <c r="E227" i="5"/>
  <c r="E205" i="5"/>
  <c r="E206" i="5"/>
  <c r="E216" i="5"/>
  <c r="L58" i="1"/>
  <c r="E228" i="5"/>
  <c r="E218" i="5"/>
  <c r="E217" i="5"/>
  <c r="E239" i="5"/>
  <c r="L59" i="1"/>
  <c r="E240" i="5"/>
  <c r="E230" i="5"/>
  <c r="E229" i="5"/>
  <c r="L60" i="1"/>
  <c r="E263" i="5"/>
  <c r="E242" i="5"/>
  <c r="E241" i="5"/>
  <c r="C5" i="1"/>
  <c r="C13" i="1"/>
  <c r="C21" i="1"/>
  <c r="C16" i="1"/>
  <c r="C17" i="1"/>
  <c r="C19" i="1"/>
  <c r="C12" i="1"/>
  <c r="C6" i="1"/>
  <c r="C14" i="1"/>
  <c r="C22" i="1"/>
  <c r="C9" i="1"/>
  <c r="C7" i="1"/>
  <c r="C15" i="1"/>
  <c r="C4" i="1"/>
  <c r="D4" i="1"/>
  <c r="C10" i="1"/>
  <c r="C18" i="1"/>
  <c r="C11" i="1"/>
  <c r="C20" i="1"/>
  <c r="S11" i="1"/>
  <c r="T24" i="1"/>
  <c r="L61" i="1"/>
  <c r="L62" i="1"/>
  <c r="D5" i="1"/>
  <c r="D6" i="1"/>
  <c r="D7" i="1"/>
  <c r="D8" i="1"/>
  <c r="D9" i="1"/>
  <c r="D10" i="1"/>
  <c r="D11" i="1"/>
  <c r="D12" i="1"/>
  <c r="D13" i="1"/>
  <c r="D14" i="1"/>
  <c r="D15" i="1"/>
  <c r="D16" i="1"/>
  <c r="D17" i="1"/>
  <c r="D18" i="1"/>
  <c r="D19" i="1"/>
  <c r="D20" i="1"/>
  <c r="D21" i="1"/>
  <c r="D22" i="1"/>
  <c r="E3" i="1"/>
  <c r="F3" i="1"/>
  <c r="E4" i="1"/>
  <c r="F4" i="1"/>
  <c r="N4" i="1"/>
  <c r="E5" i="1"/>
  <c r="N5" i="1"/>
  <c r="F5" i="1"/>
  <c r="E6" i="1"/>
  <c r="F6" i="1"/>
  <c r="N6" i="1"/>
  <c r="N7" i="1"/>
  <c r="E7" i="1"/>
  <c r="F7" i="1"/>
  <c r="E8" i="1"/>
  <c r="F8" i="1"/>
  <c r="N8" i="1"/>
  <c r="E9" i="1"/>
  <c r="N9" i="1"/>
  <c r="N11" i="1"/>
  <c r="E10" i="1"/>
  <c r="F10" i="1"/>
  <c r="F9" i="1"/>
  <c r="N12" i="1"/>
  <c r="N10" i="1"/>
  <c r="E11" i="1"/>
  <c r="F11" i="1"/>
  <c r="E12" i="1"/>
  <c r="F12" i="1"/>
  <c r="N13" i="1"/>
  <c r="N14" i="1"/>
  <c r="E13" i="1"/>
  <c r="F13" i="1"/>
  <c r="N15" i="1"/>
  <c r="E14" i="1"/>
  <c r="F14" i="1"/>
  <c r="N16" i="1"/>
  <c r="E15" i="1"/>
  <c r="F15" i="1"/>
  <c r="N17" i="1"/>
  <c r="E16" i="1"/>
  <c r="F16" i="1"/>
  <c r="N18" i="1"/>
  <c r="E17" i="1"/>
  <c r="F17" i="1"/>
  <c r="N19" i="1"/>
  <c r="N20" i="1"/>
  <c r="E18" i="1"/>
  <c r="F18" i="1"/>
  <c r="N21" i="1"/>
  <c r="E19" i="1"/>
  <c r="F19" i="1"/>
  <c r="E20" i="1"/>
  <c r="F20" i="1"/>
  <c r="N22" i="1"/>
  <c r="N23" i="1"/>
  <c r="E22" i="1"/>
  <c r="E21" i="1"/>
  <c r="F21" i="1"/>
  <c r="F22" i="1"/>
  <c r="F63" i="1"/>
  <c r="Q24" i="1"/>
  <c r="E63" i="1"/>
  <c r="Q25" i="1"/>
  <c r="N24" i="1"/>
  <c r="N25" i="1"/>
  <c r="N26" i="1"/>
  <c r="N27" i="1"/>
  <c r="N28" i="1"/>
  <c r="N29" i="1"/>
  <c r="N30" i="1"/>
  <c r="N31" i="1"/>
  <c r="N32" i="1"/>
  <c r="N33" i="1"/>
  <c r="N34" i="1"/>
  <c r="N35" i="1"/>
  <c r="N36" i="1"/>
  <c r="N37" i="1"/>
  <c r="N38" i="1"/>
  <c r="N39" i="1"/>
  <c r="N40" i="1"/>
  <c r="N41" i="1"/>
  <c r="N42" i="1"/>
  <c r="N63" i="1"/>
  <c r="S24" i="1"/>
  <c r="M63" i="1"/>
  <c r="S25" i="1"/>
  <c r="N43" i="1"/>
  <c r="N44" i="1"/>
  <c r="N45" i="1"/>
  <c r="N46" i="1"/>
  <c r="N47" i="1"/>
  <c r="N48" i="1"/>
  <c r="N49" i="1"/>
  <c r="N50" i="1"/>
  <c r="N51" i="1"/>
  <c r="N52" i="1"/>
  <c r="N53" i="1"/>
  <c r="N54" i="1"/>
  <c r="N55" i="1"/>
  <c r="N56" i="1"/>
  <c r="N57" i="1"/>
  <c r="N58" i="1"/>
  <c r="N59" i="1"/>
  <c r="N60" i="1"/>
  <c r="N61" i="1"/>
  <c r="N62" i="1"/>
  <c r="A1" i="6"/>
</calcChain>
</file>

<file path=xl/sharedStrings.xml><?xml version="1.0" encoding="utf-8"?>
<sst xmlns="http://schemas.openxmlformats.org/spreadsheetml/2006/main" count="108" uniqueCount="53">
  <si>
    <t>Year</t>
  </si>
  <si>
    <t>Income</t>
  </si>
  <si>
    <t>Increase in income</t>
  </si>
  <si>
    <t>Amount borrowed</t>
  </si>
  <si>
    <t>Total</t>
  </si>
  <si>
    <t>Standard repayment</t>
  </si>
  <si>
    <t>Years</t>
  </si>
  <si>
    <t>Interest rate</t>
  </si>
  <si>
    <t>Fee</t>
  </si>
  <si>
    <t>Total paid</t>
  </si>
  <si>
    <t>Discount rate</t>
  </si>
  <si>
    <t>NPV of payments</t>
  </si>
  <si>
    <t>Annual payment</t>
  </si>
  <si>
    <t xml:space="preserve">Inflation </t>
  </si>
  <si>
    <t>REPAYE</t>
  </si>
  <si>
    <t>Standard (10-yr)</t>
  </si>
  <si>
    <t>Amt Borrowed</t>
  </si>
  <si>
    <t>PAYE</t>
  </si>
  <si>
    <t>HEA Plan</t>
  </si>
  <si>
    <t>IncPay</t>
  </si>
  <si>
    <t>Balance</t>
  </si>
  <si>
    <t>YrPayment</t>
  </si>
  <si>
    <t>AGI</t>
  </si>
  <si>
    <t>Poverty level</t>
  </si>
  <si>
    <r>
      <rPr>
        <b/>
        <sz val="12"/>
        <color theme="1"/>
        <rFont val="Gill Sans MT"/>
        <family val="2"/>
        <scheme val="minor"/>
      </rPr>
      <t xml:space="preserve">Rules: </t>
    </r>
    <r>
      <rPr>
        <sz val="12"/>
        <color theme="1"/>
        <rFont val="Gill Sans MT"/>
        <family val="2"/>
        <scheme val="minor"/>
      </rPr>
      <t xml:space="preserve">Your monthly payments will be 10 percent of discretionary income.
Your monthly payment will never be more than the 10-year Standard Plan amount.
Any outstanding balance on your loan will be forgiven if you haven't repaid your loan in full after 20  years.
You may have to pay income tax on any amount that is forgiven.
</t>
    </r>
  </si>
  <si>
    <t>Graduate Loan</t>
  </si>
  <si>
    <r>
      <rPr>
        <b/>
        <sz val="12"/>
        <color theme="1"/>
        <rFont val="Gill Sans MT"/>
        <family val="2"/>
        <scheme val="minor"/>
      </rPr>
      <t xml:space="preserve">Rules: </t>
    </r>
    <r>
      <rPr>
        <sz val="12"/>
        <color theme="1"/>
        <rFont val="Gill Sans MT"/>
        <family val="2"/>
        <scheme val="minor"/>
      </rPr>
      <t>Your monthly payments will be 10 percent of discretionary income.
If you're married, both your and your spouse’s income or loan debt will be considered, whether taxes are filed jointly or separately (with limited exceptions).
Any outstanding balance on your loan will be forgiven if you haven't repaid your loan in full after 20 (undergrad) or 25 years (grad).</t>
    </r>
  </si>
  <si>
    <t>HEA</t>
  </si>
  <si>
    <t>PayNPV</t>
  </si>
  <si>
    <t>RESULTS FOR MACRO</t>
  </si>
  <si>
    <t>To run macro: crtl+g</t>
  </si>
  <si>
    <t>LOAN AMOUNT:</t>
  </si>
  <si>
    <t>Effects of Different AGI on Loan Repayment of Over 40 Years</t>
  </si>
  <si>
    <t>AGI AMOUNT:</t>
  </si>
  <si>
    <t>To run macro: crtl+h</t>
  </si>
  <si>
    <r>
      <rPr>
        <b/>
        <sz val="12"/>
        <color theme="1"/>
        <rFont val="Gill Sans MT"/>
        <family val="2"/>
        <scheme val="minor"/>
      </rPr>
      <t xml:space="preserve">Rules: </t>
    </r>
    <r>
      <rPr>
        <sz val="12"/>
        <color theme="1"/>
        <rFont val="Gill Sans MT"/>
        <family val="2"/>
        <scheme val="minor"/>
      </rPr>
      <t xml:space="preserve">It requires borrowers to pay 15 percent of their discretionary income, but all borrowers must pay at least $25 a month. This is a change from existing plans that allow for $0 payments. Borrowers on the new IDR plan would only receive forgiveness once they paid an amount equal to what they would have on the standard plan, which retires a loan in equal installments over 10 years. </t>
    </r>
  </si>
  <si>
    <t>Period</t>
  </si>
  <si>
    <t>Adj. Equiv. Interest</t>
  </si>
  <si>
    <t>http://www.efunda.com/formulae/finance/loan_calculator_u.cfm</t>
  </si>
  <si>
    <t>Monthly payment</t>
  </si>
  <si>
    <t>Adj. Eqiv. Interest</t>
  </si>
  <si>
    <t>Macro: ctrl+k</t>
  </si>
  <si>
    <t>Years of Payment By Loan Amount</t>
  </si>
  <si>
    <t>ACTUAL FOR MACRO</t>
  </si>
  <si>
    <t>UNDER 40 YEARS</t>
  </si>
  <si>
    <t>PAYE (20 Years)</t>
  </si>
  <si>
    <t>Standard (10 Years)</t>
  </si>
  <si>
    <t>REPAYE (Up to 20 Years)</t>
  </si>
  <si>
    <t>PROSPER Act (Up to 40 Years)</t>
  </si>
  <si>
    <t>PROSPER_REPAYE</t>
  </si>
  <si>
    <t>PROSPER_Standard</t>
  </si>
  <si>
    <t>Underset</t>
  </si>
  <si>
    <t>Graduate Loan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</si>
</sst>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6" formatCode="&quot;$&quot;#,##0_);[Red]\(&quot;$&quot;#,##0\)"/>
    <numFmt numFmtId="164" formatCode="&quot;$&quot;#,##0"/>
    <numFmt numFmtId="165" formatCode="&quot;$&quot;#,##0.00"/>
    <numFmt numFmtId="166" formatCode="#,##0.000000000"/>
    <numFmt numFmtId="167" formatCode="&quot;$&quot;#,##0.0"/>
  </numFmts>
  <fonts count="4" x14ac:knownFonts="1">
    <font>
      <sz val="12"/>
      <color theme="1"/>
      <name val="Gill Sans MT"/>
      <family val="2"/>
      <scheme val="minor"/>
    </font>
    <font>
      <b/>
      <sz val="12"/>
      <color theme="1"/>
      <name val="Gill Sans MT"/>
      <family val="2"/>
      <scheme val="minor"/>
    </font>
    <font>
      <sz val="12"/>
      <color rgb="FF505056"/>
      <name val="Arial"/>
      <family val="2"/>
    </font>
    <font>
      <sz val="12"/>
      <name val="Arial"/>
      <family val="2"/>
    </font>
  </fonts>
  <fills count="2">
    <fill>
      <patternFill patternType="none"/>
    </fill>
    <fill>
      <patternFill patternType="gray125"/>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theme="4"/>
      </left>
      <right style="medium">
        <color theme="4"/>
      </right>
      <top style="medium">
        <color theme="4"/>
      </top>
      <bottom/>
      <diagonal/>
    </border>
    <border>
      <left style="medium">
        <color theme="4"/>
      </left>
      <right style="medium">
        <color theme="4"/>
      </right>
      <top/>
      <bottom/>
      <diagonal/>
    </border>
    <border>
      <left style="medium">
        <color theme="4"/>
      </left>
      <right style="medium">
        <color theme="4"/>
      </right>
      <top/>
      <bottom style="medium">
        <color theme="4"/>
      </bottom>
      <diagonal/>
    </border>
  </borders>
  <cellStyleXfs count="1">
    <xf numFmtId="0" fontId="0" fillId="0" borderId="0"/>
  </cellStyleXfs>
  <cellXfs count="68">
    <xf numFmtId="0" fontId="0" fillId="0" borderId="0" xfId="0"/>
    <xf numFmtId="164" fontId="0" fillId="0" borderId="0" xfId="0" applyNumberFormat="1"/>
    <xf numFmtId="6" fontId="0" fillId="0" borderId="0" xfId="0" applyNumberFormat="1"/>
    <xf numFmtId="0" fontId="1" fillId="0" borderId="0" xfId="0" applyFont="1"/>
    <xf numFmtId="0" fontId="0" fillId="0" borderId="3" xfId="0" applyBorder="1"/>
    <xf numFmtId="0" fontId="0" fillId="0" borderId="4" xfId="0" applyBorder="1"/>
    <xf numFmtId="0" fontId="0" fillId="0" borderId="0" xfId="0" applyAlignment="1">
      <alignment horizontal="center"/>
    </xf>
    <xf numFmtId="0" fontId="0" fillId="0" borderId="8" xfId="0" applyBorder="1"/>
    <xf numFmtId="164" fontId="0" fillId="0" borderId="9" xfId="0" applyNumberFormat="1" applyBorder="1"/>
    <xf numFmtId="0" fontId="0" fillId="0" borderId="10" xfId="0" applyBorder="1"/>
    <xf numFmtId="164" fontId="0" fillId="0" borderId="11" xfId="0" applyNumberFormat="1" applyBorder="1"/>
    <xf numFmtId="164" fontId="0" fillId="0" borderId="0" xfId="0" applyNumberFormat="1" applyBorder="1"/>
    <xf numFmtId="164" fontId="0" fillId="0" borderId="12" xfId="0" applyNumberFormat="1" applyBorder="1"/>
    <xf numFmtId="0" fontId="0" fillId="0" borderId="11" xfId="0" applyBorder="1"/>
    <xf numFmtId="0" fontId="0" fillId="0" borderId="12" xfId="0" applyBorder="1"/>
    <xf numFmtId="0" fontId="0" fillId="0" borderId="13" xfId="0" applyBorder="1"/>
    <xf numFmtId="164" fontId="0" fillId="0" borderId="14" xfId="0" applyNumberFormat="1" applyBorder="1"/>
    <xf numFmtId="0" fontId="0" fillId="0" borderId="15" xfId="0" applyBorder="1"/>
    <xf numFmtId="0" fontId="1" fillId="0" borderId="2" xfId="0" applyFont="1" applyBorder="1"/>
    <xf numFmtId="0" fontId="1" fillId="0" borderId="3" xfId="0" applyFont="1" applyBorder="1"/>
    <xf numFmtId="164" fontId="0" fillId="0" borderId="15" xfId="0" applyNumberFormat="1" applyBorder="1"/>
    <xf numFmtId="164" fontId="2" fillId="0" borderId="3" xfId="0" applyNumberFormat="1" applyFont="1" applyBorder="1"/>
    <xf numFmtId="0" fontId="0" fillId="0" borderId="0" xfId="0" applyAlignment="1">
      <alignment horizontal="center" wrapText="1"/>
    </xf>
    <xf numFmtId="164" fontId="0" fillId="0" borderId="13" xfId="0" applyNumberFormat="1" applyBorder="1"/>
    <xf numFmtId="0" fontId="0" fillId="0" borderId="0" xfId="0" applyAlignment="1">
      <alignment horizontal="center" wrapText="1"/>
    </xf>
    <xf numFmtId="0" fontId="0" fillId="0" borderId="0" xfId="0" applyAlignment="1">
      <alignment horizontal="center"/>
    </xf>
    <xf numFmtId="0" fontId="0" fillId="0" borderId="0" xfId="0" applyBorder="1"/>
    <xf numFmtId="0" fontId="0" fillId="0" borderId="14" xfId="0" applyBorder="1"/>
    <xf numFmtId="0" fontId="1" fillId="0" borderId="8" xfId="0" applyFont="1" applyBorder="1"/>
    <xf numFmtId="0" fontId="0" fillId="0" borderId="9" xfId="0" applyBorder="1"/>
    <xf numFmtId="0" fontId="0" fillId="0" borderId="0" xfId="0" applyAlignment="1">
      <alignment horizontal="center" vertical="center" wrapText="1"/>
    </xf>
    <xf numFmtId="0" fontId="1" fillId="0" borderId="5" xfId="0" applyFont="1" applyBorder="1"/>
    <xf numFmtId="164" fontId="1" fillId="0" borderId="6" xfId="0" applyNumberFormat="1" applyFont="1" applyBorder="1"/>
    <xf numFmtId="164" fontId="1" fillId="0" borderId="7" xfId="0" applyNumberFormat="1" applyFont="1" applyBorder="1"/>
    <xf numFmtId="164" fontId="0" fillId="0" borderId="1" xfId="0" applyNumberFormat="1" applyFont="1" applyFill="1" applyBorder="1"/>
    <xf numFmtId="164" fontId="0" fillId="0" borderId="1" xfId="0" applyNumberFormat="1" applyFont="1" applyBorder="1"/>
    <xf numFmtId="6" fontId="1" fillId="0" borderId="0" xfId="0" applyNumberFormat="1" applyFont="1"/>
    <xf numFmtId="0" fontId="0" fillId="0" borderId="1" xfId="0" applyFont="1" applyBorder="1"/>
    <xf numFmtId="165" fontId="0" fillId="0" borderId="0" xfId="0" applyNumberFormat="1"/>
    <xf numFmtId="165" fontId="0" fillId="0" borderId="0" xfId="0" applyNumberFormat="1" applyBorder="1"/>
    <xf numFmtId="0" fontId="0" fillId="0" borderId="12" xfId="0" applyNumberFormat="1" applyBorder="1"/>
    <xf numFmtId="6" fontId="0" fillId="0" borderId="3" xfId="0" applyNumberFormat="1" applyBorder="1"/>
    <xf numFmtId="166" fontId="0" fillId="0" borderId="12" xfId="0" applyNumberFormat="1" applyBorder="1"/>
    <xf numFmtId="0" fontId="0" fillId="0" borderId="1" xfId="0" applyBorder="1"/>
    <xf numFmtId="164" fontId="0" fillId="0" borderId="0" xfId="0" applyNumberFormat="1" applyFont="1" applyBorder="1"/>
    <xf numFmtId="0" fontId="0" fillId="0" borderId="0" xfId="0" applyAlignment="1">
      <alignment horizontal="center" wrapText="1"/>
    </xf>
    <xf numFmtId="0" fontId="0" fillId="0" borderId="0" xfId="0" applyAlignment="1">
      <alignment horizontal="center"/>
    </xf>
    <xf numFmtId="0" fontId="0" fillId="0" borderId="0" xfId="0" applyAlignment="1">
      <alignment horizontal="center" vertical="center" wrapText="1"/>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1" fillId="0" borderId="0" xfId="0" applyFont="1" applyAlignment="1">
      <alignment horizontal="center"/>
    </xf>
    <xf numFmtId="0" fontId="1" fillId="0" borderId="16" xfId="0" applyFont="1" applyFill="1" applyBorder="1"/>
    <xf numFmtId="0" fontId="0" fillId="0" borderId="17" xfId="0" applyFill="1" applyBorder="1"/>
    <xf numFmtId="0" fontId="1" fillId="0" borderId="17" xfId="0" applyFont="1" applyFill="1" applyBorder="1"/>
    <xf numFmtId="6" fontId="0" fillId="0" borderId="17" xfId="0" applyNumberFormat="1" applyFill="1" applyBorder="1"/>
    <xf numFmtId="164" fontId="3" fillId="0" borderId="17" xfId="0" applyNumberFormat="1" applyFont="1" applyFill="1" applyBorder="1"/>
    <xf numFmtId="0" fontId="0" fillId="0" borderId="18" xfId="0" applyFill="1" applyBorder="1"/>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167" fontId="0" fillId="0" borderId="0" xfId="0" applyNumberFormat="1"/>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23792961668736"/>
          <c:y val="3.2884902840059793E-2"/>
          <c:w val="0.86059805242556009"/>
          <c:h val="0.76762802631733817"/>
        </c:manualLayout>
      </c:layout>
      <c:lineChart>
        <c:grouping val="standard"/>
        <c:varyColors val="0"/>
        <c:ser>
          <c:idx val="0"/>
          <c:order val="0"/>
          <c:tx>
            <c:strRef>
              <c:f>Sheet2!$B$1</c:f>
              <c:strCache>
                <c:ptCount val="1"/>
                <c:pt idx="0">
                  <c:v>PAYE (20 Years)</c:v>
                </c:pt>
              </c:strCache>
            </c:strRef>
          </c:tx>
          <c:spPr>
            <a:ln w="28575" cap="rnd">
              <a:solidFill>
                <a:schemeClr val="accent1"/>
              </a:solidFill>
              <a:round/>
            </a:ln>
            <a:effectLst/>
          </c:spPr>
          <c:marker>
            <c:symbol val="none"/>
          </c:marker>
          <c:cat>
            <c:numRef>
              <c:f>Sheet2!$A$2:$A$152</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Sheet2!$B$2:$B$152</c:f>
              <c:numCache>
                <c:formatCode>"$"#,##0</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85.760191889706704</c:v>
                </c:pt>
                <c:pt idx="17">
                  <c:v>285.92954313485075</c:v>
                </c:pt>
                <c:pt idx="18">
                  <c:v>593.89475749614212</c:v>
                </c:pt>
                <c:pt idx="19">
                  <c:v>1003.1665887980402</c:v>
                </c:pt>
                <c:pt idx="20">
                  <c:v>1507.3757972168971</c:v>
                </c:pt>
                <c:pt idx="21">
                  <c:v>2100.2691810652213</c:v>
                </c:pt>
                <c:pt idx="22">
                  <c:v>2786.0460812948072</c:v>
                </c:pt>
                <c:pt idx="23">
                  <c:v>3551.6789364242363</c:v>
                </c:pt>
                <c:pt idx="24">
                  <c:v>4396.4904629984067</c:v>
                </c:pt>
                <c:pt idx="25">
                  <c:v>5318.4817644191808</c:v>
                </c:pt>
                <c:pt idx="26">
                  <c:v>6312.062303777614</c:v>
                </c:pt>
                <c:pt idx="27">
                  <c:v>7369.1832333707553</c:v>
                </c:pt>
                <c:pt idx="28">
                  <c:v>8435.042027041558</c:v>
                </c:pt>
                <c:pt idx="29">
                  <c:v>9500.9008207123643</c:v>
                </c:pt>
                <c:pt idx="30">
                  <c:v>10566.759614383174</c:v>
                </c:pt>
                <c:pt idx="31">
                  <c:v>11632.618408053962</c:v>
                </c:pt>
                <c:pt idx="32">
                  <c:v>12698.477201724781</c:v>
                </c:pt>
                <c:pt idx="33">
                  <c:v>13764.335995395577</c:v>
                </c:pt>
                <c:pt idx="34">
                  <c:v>14830.194789066376</c:v>
                </c:pt>
                <c:pt idx="35">
                  <c:v>15896.053582737197</c:v>
                </c:pt>
                <c:pt idx="36">
                  <c:v>16961.912376407985</c:v>
                </c:pt>
                <c:pt idx="37">
                  <c:v>18027.771170078806</c:v>
                </c:pt>
                <c:pt idx="38">
                  <c:v>19093.629963749609</c:v>
                </c:pt>
                <c:pt idx="39">
                  <c:v>20159.488757420415</c:v>
                </c:pt>
                <c:pt idx="40">
                  <c:v>21225.347551091218</c:v>
                </c:pt>
                <c:pt idx="41">
                  <c:v>22291.206344762009</c:v>
                </c:pt>
                <c:pt idx="42">
                  <c:v>23357.06513843283</c:v>
                </c:pt>
                <c:pt idx="43">
                  <c:v>24422.923932103622</c:v>
                </c:pt>
                <c:pt idx="44">
                  <c:v>25488.782725774421</c:v>
                </c:pt>
                <c:pt idx="45">
                  <c:v>26554.641519445231</c:v>
                </c:pt>
                <c:pt idx="46">
                  <c:v>27620.50031311603</c:v>
                </c:pt>
                <c:pt idx="47">
                  <c:v>28686.359106786855</c:v>
                </c:pt>
                <c:pt idx="48">
                  <c:v>29752.217900457639</c:v>
                </c:pt>
                <c:pt idx="49">
                  <c:v>30818.076694128446</c:v>
                </c:pt>
                <c:pt idx="50">
                  <c:v>31883.935487799255</c:v>
                </c:pt>
                <c:pt idx="51">
                  <c:v>32949.79428147008</c:v>
                </c:pt>
                <c:pt idx="52">
                  <c:v>34015.653075140872</c:v>
                </c:pt>
                <c:pt idx="53">
                  <c:v>35081.511868811671</c:v>
                </c:pt>
                <c:pt idx="54">
                  <c:v>36147.37066248247</c:v>
                </c:pt>
                <c:pt idx="55">
                  <c:v>37213.229456153269</c:v>
                </c:pt>
                <c:pt idx="56">
                  <c:v>38279.088249824083</c:v>
                </c:pt>
                <c:pt idx="57">
                  <c:v>39344.947043494889</c:v>
                </c:pt>
                <c:pt idx="58">
                  <c:v>40410.80583716571</c:v>
                </c:pt>
                <c:pt idx="59">
                  <c:v>41476.664630836502</c:v>
                </c:pt>
                <c:pt idx="60">
                  <c:v>42542.523424507286</c:v>
                </c:pt>
                <c:pt idx="61">
                  <c:v>43608.382218178107</c:v>
                </c:pt>
                <c:pt idx="62">
                  <c:v>44674.241011848913</c:v>
                </c:pt>
                <c:pt idx="63">
                  <c:v>45740.09980551972</c:v>
                </c:pt>
                <c:pt idx="64">
                  <c:v>46805.958599190519</c:v>
                </c:pt>
                <c:pt idx="65">
                  <c:v>47871.817392861325</c:v>
                </c:pt>
                <c:pt idx="66">
                  <c:v>48937.676186532131</c:v>
                </c:pt>
                <c:pt idx="67">
                  <c:v>50003.534980202923</c:v>
                </c:pt>
                <c:pt idx="68">
                  <c:v>51069.393773873737</c:v>
                </c:pt>
                <c:pt idx="69">
                  <c:v>52135.252567544543</c:v>
                </c:pt>
                <c:pt idx="70">
                  <c:v>53201.111361215342</c:v>
                </c:pt>
                <c:pt idx="71">
                  <c:v>54266.970154886149</c:v>
                </c:pt>
                <c:pt idx="72">
                  <c:v>55332.82894855694</c:v>
                </c:pt>
                <c:pt idx="73">
                  <c:v>56398.687742227747</c:v>
                </c:pt>
                <c:pt idx="74">
                  <c:v>57464.546535898568</c:v>
                </c:pt>
                <c:pt idx="75">
                  <c:v>58530.405329569381</c:v>
                </c:pt>
                <c:pt idx="76">
                  <c:v>59596.264123240166</c:v>
                </c:pt>
                <c:pt idx="77">
                  <c:v>60662.122916910987</c:v>
                </c:pt>
                <c:pt idx="78">
                  <c:v>61727.981710581756</c:v>
                </c:pt>
                <c:pt idx="79">
                  <c:v>62793.840504252592</c:v>
                </c:pt>
                <c:pt idx="80">
                  <c:v>63859.699297923391</c:v>
                </c:pt>
                <c:pt idx="81">
                  <c:v>64925.558091594205</c:v>
                </c:pt>
                <c:pt idx="82">
                  <c:v>65991.416885264975</c:v>
                </c:pt>
                <c:pt idx="83">
                  <c:v>67057.27567893581</c:v>
                </c:pt>
                <c:pt idx="84">
                  <c:v>68123.134472606616</c:v>
                </c:pt>
                <c:pt idx="85">
                  <c:v>69188.993266277394</c:v>
                </c:pt>
                <c:pt idx="86">
                  <c:v>70254.852059948214</c:v>
                </c:pt>
                <c:pt idx="87">
                  <c:v>71320.710853619006</c:v>
                </c:pt>
                <c:pt idx="88">
                  <c:v>72386.569647289856</c:v>
                </c:pt>
                <c:pt idx="89">
                  <c:v>73452.428440960633</c:v>
                </c:pt>
                <c:pt idx="90">
                  <c:v>74518.287234631454</c:v>
                </c:pt>
                <c:pt idx="91">
                  <c:v>75584.146028302261</c:v>
                </c:pt>
                <c:pt idx="92">
                  <c:v>76650.004821973038</c:v>
                </c:pt>
                <c:pt idx="93">
                  <c:v>77715.863615643873</c:v>
                </c:pt>
                <c:pt idx="94">
                  <c:v>78781.722409314665</c:v>
                </c:pt>
                <c:pt idx="95">
                  <c:v>79847.581202985442</c:v>
                </c:pt>
                <c:pt idx="96">
                  <c:v>80913.439996656263</c:v>
                </c:pt>
                <c:pt idx="97">
                  <c:v>81979.29879032707</c:v>
                </c:pt>
                <c:pt idx="98">
                  <c:v>83045.157583997847</c:v>
                </c:pt>
                <c:pt idx="99">
                  <c:v>84111.016377668682</c:v>
                </c:pt>
                <c:pt idx="100">
                  <c:v>85176.875171339459</c:v>
                </c:pt>
                <c:pt idx="101">
                  <c:v>86242.733965010324</c:v>
                </c:pt>
                <c:pt idx="102">
                  <c:v>87308.592758681072</c:v>
                </c:pt>
                <c:pt idx="103">
                  <c:v>88374.451552351893</c:v>
                </c:pt>
                <c:pt idx="104">
                  <c:v>89440.310346022699</c:v>
                </c:pt>
                <c:pt idx="105">
                  <c:v>90506.169139693506</c:v>
                </c:pt>
                <c:pt idx="106">
                  <c:v>91572.027933364297</c:v>
                </c:pt>
                <c:pt idx="107">
                  <c:v>92637.886727035104</c:v>
                </c:pt>
                <c:pt idx="108">
                  <c:v>93703.745520705896</c:v>
                </c:pt>
                <c:pt idx="109">
                  <c:v>94769.604314376717</c:v>
                </c:pt>
                <c:pt idx="110">
                  <c:v>95835.463108047523</c:v>
                </c:pt>
                <c:pt idx="111">
                  <c:v>96901.321901718329</c:v>
                </c:pt>
                <c:pt idx="112">
                  <c:v>97967.180695389179</c:v>
                </c:pt>
                <c:pt idx="113">
                  <c:v>99033.039489059942</c:v>
                </c:pt>
                <c:pt idx="114">
                  <c:v>100098.89828273073</c:v>
                </c:pt>
                <c:pt idx="115">
                  <c:v>101164.75707640153</c:v>
                </c:pt>
                <c:pt idx="116">
                  <c:v>102230.61587007235</c:v>
                </c:pt>
                <c:pt idx="117">
                  <c:v>103296.47466374317</c:v>
                </c:pt>
                <c:pt idx="118">
                  <c:v>104362.33345741396</c:v>
                </c:pt>
                <c:pt idx="119">
                  <c:v>105428.19225108478</c:v>
                </c:pt>
                <c:pt idx="120">
                  <c:v>106494.05104475554</c:v>
                </c:pt>
                <c:pt idx="121">
                  <c:v>107559.90983842636</c:v>
                </c:pt>
                <c:pt idx="122">
                  <c:v>108625.76863209717</c:v>
                </c:pt>
                <c:pt idx="123">
                  <c:v>109691.62742576796</c:v>
                </c:pt>
                <c:pt idx="124">
                  <c:v>110757.4862194388</c:v>
                </c:pt>
                <c:pt idx="125">
                  <c:v>111823.34501310957</c:v>
                </c:pt>
                <c:pt idx="126">
                  <c:v>112889.20380678042</c:v>
                </c:pt>
                <c:pt idx="127">
                  <c:v>113955.0626004512</c:v>
                </c:pt>
                <c:pt idx="128">
                  <c:v>115020.92139412199</c:v>
                </c:pt>
                <c:pt idx="129">
                  <c:v>116086.78018779277</c:v>
                </c:pt>
                <c:pt idx="130">
                  <c:v>117152.63898146356</c:v>
                </c:pt>
                <c:pt idx="131">
                  <c:v>118218.49777513443</c:v>
                </c:pt>
                <c:pt idx="132">
                  <c:v>119284.35656880519</c:v>
                </c:pt>
                <c:pt idx="133">
                  <c:v>120350.21536247604</c:v>
                </c:pt>
                <c:pt idx="134">
                  <c:v>121416.07415614683</c:v>
                </c:pt>
                <c:pt idx="135">
                  <c:v>122481.93294981765</c:v>
                </c:pt>
                <c:pt idx="136">
                  <c:v>123547.79174348841</c:v>
                </c:pt>
                <c:pt idx="137">
                  <c:v>124613.65053715926</c:v>
                </c:pt>
                <c:pt idx="138">
                  <c:v>125679.50933083007</c:v>
                </c:pt>
                <c:pt idx="139">
                  <c:v>126745.36812450085</c:v>
                </c:pt>
                <c:pt idx="140">
                  <c:v>127811.22691817165</c:v>
                </c:pt>
                <c:pt idx="141">
                  <c:v>128877.08571184245</c:v>
                </c:pt>
                <c:pt idx="142">
                  <c:v>129942.94450551327</c:v>
                </c:pt>
                <c:pt idx="143">
                  <c:v>131008.80329918407</c:v>
                </c:pt>
                <c:pt idx="144">
                  <c:v>132074.66209285488</c:v>
                </c:pt>
                <c:pt idx="145">
                  <c:v>133140.52088652566</c:v>
                </c:pt>
                <c:pt idx="146">
                  <c:v>134206.37968019649</c:v>
                </c:pt>
                <c:pt idx="147">
                  <c:v>135272.23847386733</c:v>
                </c:pt>
                <c:pt idx="148">
                  <c:v>136338.09726753813</c:v>
                </c:pt>
                <c:pt idx="149">
                  <c:v>137403.95606120888</c:v>
                </c:pt>
                <c:pt idx="150">
                  <c:v>138469.81485487975</c:v>
                </c:pt>
              </c:numCache>
            </c:numRef>
          </c:val>
          <c:smooth val="0"/>
          <c:extLst>
            <c:ext xmlns:c16="http://schemas.microsoft.com/office/drawing/2014/chart" uri="{C3380CC4-5D6E-409C-BE32-E72D297353CC}">
              <c16:uniqueId val="{00000000-86B3-4CE7-AF05-9B7820CAD7E0}"/>
            </c:ext>
          </c:extLst>
        </c:ser>
        <c:ser>
          <c:idx val="1"/>
          <c:order val="1"/>
          <c:tx>
            <c:strRef>
              <c:f>Sheet2!$C$1</c:f>
              <c:strCache>
                <c:ptCount val="1"/>
                <c:pt idx="0">
                  <c:v>REPAYE (Up to 20 Years)</c:v>
                </c:pt>
              </c:strCache>
            </c:strRef>
          </c:tx>
          <c:spPr>
            <a:ln w="28575" cap="rnd">
              <a:solidFill>
                <a:schemeClr val="accent2"/>
              </a:solidFill>
              <a:round/>
            </a:ln>
            <a:effectLst/>
          </c:spPr>
          <c:marker>
            <c:symbol val="none"/>
          </c:marker>
          <c:cat>
            <c:numRef>
              <c:f>Sheet2!$A$2:$A$152</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Sheet2!$C$2:$C$152</c:f>
              <c:numCache>
                <c:formatCode>"$"#,##0</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85.760191889706704</c:v>
                </c:pt>
                <c:pt idx="17">
                  <c:v>285.92954313485075</c:v>
                </c:pt>
                <c:pt idx="18">
                  <c:v>593.89475749614212</c:v>
                </c:pt>
                <c:pt idx="19">
                  <c:v>1003.1665887980402</c:v>
                </c:pt>
                <c:pt idx="20">
                  <c:v>1507.3757972168971</c:v>
                </c:pt>
                <c:pt idx="21">
                  <c:v>2100.2691810652213</c:v>
                </c:pt>
                <c:pt idx="22">
                  <c:v>2786.0460812948072</c:v>
                </c:pt>
                <c:pt idx="23">
                  <c:v>3551.6789364242363</c:v>
                </c:pt>
                <c:pt idx="24">
                  <c:v>4396.4904629984067</c:v>
                </c:pt>
                <c:pt idx="25">
                  <c:v>5318.4817644191808</c:v>
                </c:pt>
                <c:pt idx="26">
                  <c:v>6312.062303777614</c:v>
                </c:pt>
                <c:pt idx="27">
                  <c:v>7369.1832333707553</c:v>
                </c:pt>
                <c:pt idx="28">
                  <c:v>8435.042027041558</c:v>
                </c:pt>
                <c:pt idx="29">
                  <c:v>9500.9008207123643</c:v>
                </c:pt>
                <c:pt idx="30">
                  <c:v>10566.759614383174</c:v>
                </c:pt>
                <c:pt idx="31">
                  <c:v>11632.618408053962</c:v>
                </c:pt>
                <c:pt idx="32">
                  <c:v>12698.477201724781</c:v>
                </c:pt>
                <c:pt idx="33">
                  <c:v>13764.335995395577</c:v>
                </c:pt>
                <c:pt idx="34">
                  <c:v>14830.194789066376</c:v>
                </c:pt>
                <c:pt idx="35">
                  <c:v>15896.053582737197</c:v>
                </c:pt>
                <c:pt idx="36">
                  <c:v>16961.912376407985</c:v>
                </c:pt>
                <c:pt idx="37">
                  <c:v>18027.771170078806</c:v>
                </c:pt>
                <c:pt idx="38">
                  <c:v>19093.629963749609</c:v>
                </c:pt>
                <c:pt idx="39">
                  <c:v>20159.488757420415</c:v>
                </c:pt>
                <c:pt idx="40">
                  <c:v>21225.347551091218</c:v>
                </c:pt>
                <c:pt idx="41">
                  <c:v>22291.206344762009</c:v>
                </c:pt>
                <c:pt idx="42">
                  <c:v>23357.06513843283</c:v>
                </c:pt>
                <c:pt idx="43">
                  <c:v>24422.923932103622</c:v>
                </c:pt>
                <c:pt idx="44">
                  <c:v>25488.782725774421</c:v>
                </c:pt>
                <c:pt idx="45">
                  <c:v>26554.641519445231</c:v>
                </c:pt>
                <c:pt idx="46">
                  <c:v>27620.50031311603</c:v>
                </c:pt>
                <c:pt idx="47">
                  <c:v>28686.359106786855</c:v>
                </c:pt>
                <c:pt idx="48">
                  <c:v>29752.217900457639</c:v>
                </c:pt>
                <c:pt idx="49">
                  <c:v>30818.076694128446</c:v>
                </c:pt>
                <c:pt idx="50">
                  <c:v>31883.935487799255</c:v>
                </c:pt>
                <c:pt idx="51">
                  <c:v>32949.79428147008</c:v>
                </c:pt>
                <c:pt idx="52">
                  <c:v>34015.653075140872</c:v>
                </c:pt>
                <c:pt idx="53">
                  <c:v>35081.511868811671</c:v>
                </c:pt>
                <c:pt idx="54">
                  <c:v>36147.37066248247</c:v>
                </c:pt>
                <c:pt idx="55">
                  <c:v>37213.229456153269</c:v>
                </c:pt>
                <c:pt idx="56">
                  <c:v>38279.088249824083</c:v>
                </c:pt>
                <c:pt idx="57">
                  <c:v>39344.947043494889</c:v>
                </c:pt>
                <c:pt idx="58">
                  <c:v>40410.80583716571</c:v>
                </c:pt>
                <c:pt idx="59">
                  <c:v>41476.664630836502</c:v>
                </c:pt>
                <c:pt idx="60">
                  <c:v>42542.523424507286</c:v>
                </c:pt>
                <c:pt idx="61">
                  <c:v>43608.382218178107</c:v>
                </c:pt>
                <c:pt idx="62">
                  <c:v>44674.241011848913</c:v>
                </c:pt>
                <c:pt idx="63">
                  <c:v>45740.09980551972</c:v>
                </c:pt>
                <c:pt idx="64">
                  <c:v>46805.958599190519</c:v>
                </c:pt>
                <c:pt idx="65">
                  <c:v>47871.817392861325</c:v>
                </c:pt>
                <c:pt idx="66">
                  <c:v>48937.676186532131</c:v>
                </c:pt>
                <c:pt idx="67">
                  <c:v>50003.534980202923</c:v>
                </c:pt>
                <c:pt idx="68">
                  <c:v>51069.393773873737</c:v>
                </c:pt>
                <c:pt idx="69">
                  <c:v>52135.252567544543</c:v>
                </c:pt>
                <c:pt idx="70">
                  <c:v>53201.111361215342</c:v>
                </c:pt>
                <c:pt idx="71">
                  <c:v>54266.970154886149</c:v>
                </c:pt>
                <c:pt idx="72">
                  <c:v>55332.82894855694</c:v>
                </c:pt>
                <c:pt idx="73">
                  <c:v>56398.687742227747</c:v>
                </c:pt>
                <c:pt idx="74">
                  <c:v>57464.546535898568</c:v>
                </c:pt>
                <c:pt idx="75">
                  <c:v>58530.405329569381</c:v>
                </c:pt>
                <c:pt idx="76">
                  <c:v>59596.264123240166</c:v>
                </c:pt>
                <c:pt idx="77">
                  <c:v>60662.122916910987</c:v>
                </c:pt>
                <c:pt idx="78">
                  <c:v>61727.981710581756</c:v>
                </c:pt>
                <c:pt idx="79">
                  <c:v>62793.840504252592</c:v>
                </c:pt>
                <c:pt idx="80">
                  <c:v>63859.699297923391</c:v>
                </c:pt>
                <c:pt idx="81">
                  <c:v>64925.558091594205</c:v>
                </c:pt>
                <c:pt idx="82">
                  <c:v>65991.416885264975</c:v>
                </c:pt>
                <c:pt idx="83">
                  <c:v>67057.27567893581</c:v>
                </c:pt>
                <c:pt idx="84">
                  <c:v>68123.134472606616</c:v>
                </c:pt>
                <c:pt idx="85">
                  <c:v>69188.993266277394</c:v>
                </c:pt>
                <c:pt idx="86">
                  <c:v>70254.852059948214</c:v>
                </c:pt>
                <c:pt idx="87">
                  <c:v>71320.710853619006</c:v>
                </c:pt>
                <c:pt idx="88">
                  <c:v>72386.569647289856</c:v>
                </c:pt>
                <c:pt idx="89">
                  <c:v>73452.428440960633</c:v>
                </c:pt>
                <c:pt idx="90">
                  <c:v>74518.287234631454</c:v>
                </c:pt>
                <c:pt idx="91">
                  <c:v>75584.146028302261</c:v>
                </c:pt>
                <c:pt idx="92">
                  <c:v>76650.004821973038</c:v>
                </c:pt>
                <c:pt idx="93">
                  <c:v>77715.863615643873</c:v>
                </c:pt>
                <c:pt idx="94">
                  <c:v>78781.722409314665</c:v>
                </c:pt>
                <c:pt idx="95">
                  <c:v>79847.581202985442</c:v>
                </c:pt>
                <c:pt idx="96">
                  <c:v>80913.439996656263</c:v>
                </c:pt>
                <c:pt idx="97">
                  <c:v>81979.29879032707</c:v>
                </c:pt>
                <c:pt idx="98">
                  <c:v>83045.157583997847</c:v>
                </c:pt>
                <c:pt idx="99">
                  <c:v>84111.016377668682</c:v>
                </c:pt>
                <c:pt idx="100">
                  <c:v>85176.875171339459</c:v>
                </c:pt>
                <c:pt idx="101">
                  <c:v>86242.733965010324</c:v>
                </c:pt>
                <c:pt idx="102">
                  <c:v>87308.592758681072</c:v>
                </c:pt>
                <c:pt idx="103">
                  <c:v>88374.451552351893</c:v>
                </c:pt>
                <c:pt idx="104">
                  <c:v>89440.310346022699</c:v>
                </c:pt>
                <c:pt idx="105">
                  <c:v>90506.169139693506</c:v>
                </c:pt>
                <c:pt idx="106">
                  <c:v>91572.027933364297</c:v>
                </c:pt>
                <c:pt idx="107">
                  <c:v>92637.886727035104</c:v>
                </c:pt>
                <c:pt idx="108">
                  <c:v>93703.745520705896</c:v>
                </c:pt>
                <c:pt idx="109">
                  <c:v>94769.604314376717</c:v>
                </c:pt>
                <c:pt idx="110">
                  <c:v>95835.463108047523</c:v>
                </c:pt>
                <c:pt idx="111">
                  <c:v>96901.321901718329</c:v>
                </c:pt>
                <c:pt idx="112">
                  <c:v>97967.180695389179</c:v>
                </c:pt>
                <c:pt idx="113">
                  <c:v>99033.039489059942</c:v>
                </c:pt>
                <c:pt idx="114">
                  <c:v>100098.89828273073</c:v>
                </c:pt>
                <c:pt idx="115">
                  <c:v>101164.75707640153</c:v>
                </c:pt>
                <c:pt idx="116">
                  <c:v>102230.61587007235</c:v>
                </c:pt>
                <c:pt idx="117">
                  <c:v>103296.47466374317</c:v>
                </c:pt>
                <c:pt idx="118">
                  <c:v>104362.33345741396</c:v>
                </c:pt>
                <c:pt idx="119">
                  <c:v>105428.19225108478</c:v>
                </c:pt>
                <c:pt idx="120">
                  <c:v>106494.05104475554</c:v>
                </c:pt>
                <c:pt idx="121">
                  <c:v>107559.90983842636</c:v>
                </c:pt>
                <c:pt idx="122">
                  <c:v>108625.76863209717</c:v>
                </c:pt>
                <c:pt idx="123">
                  <c:v>109691.62742576796</c:v>
                </c:pt>
                <c:pt idx="124">
                  <c:v>110757.4862194388</c:v>
                </c:pt>
                <c:pt idx="125">
                  <c:v>111823.34501310957</c:v>
                </c:pt>
                <c:pt idx="126">
                  <c:v>112889.20380678042</c:v>
                </c:pt>
                <c:pt idx="127">
                  <c:v>113955.0626004512</c:v>
                </c:pt>
                <c:pt idx="128">
                  <c:v>115020.92139412199</c:v>
                </c:pt>
                <c:pt idx="129">
                  <c:v>116086.78018779277</c:v>
                </c:pt>
                <c:pt idx="130">
                  <c:v>117152.63898146356</c:v>
                </c:pt>
                <c:pt idx="131">
                  <c:v>118218.49777513443</c:v>
                </c:pt>
                <c:pt idx="132">
                  <c:v>119284.35656880519</c:v>
                </c:pt>
                <c:pt idx="133">
                  <c:v>120350.21536247604</c:v>
                </c:pt>
                <c:pt idx="134">
                  <c:v>121416.07415614683</c:v>
                </c:pt>
                <c:pt idx="135">
                  <c:v>122481.93294981765</c:v>
                </c:pt>
                <c:pt idx="136">
                  <c:v>123547.79174348841</c:v>
                </c:pt>
                <c:pt idx="137">
                  <c:v>124613.65053715926</c:v>
                </c:pt>
                <c:pt idx="138">
                  <c:v>125679.50933083007</c:v>
                </c:pt>
                <c:pt idx="139">
                  <c:v>126745.36812450085</c:v>
                </c:pt>
                <c:pt idx="140">
                  <c:v>127811.22691817165</c:v>
                </c:pt>
                <c:pt idx="141">
                  <c:v>128877.08571184245</c:v>
                </c:pt>
                <c:pt idx="142">
                  <c:v>129942.94450551327</c:v>
                </c:pt>
                <c:pt idx="143">
                  <c:v>131008.80329918407</c:v>
                </c:pt>
                <c:pt idx="144">
                  <c:v>132074.66209285488</c:v>
                </c:pt>
                <c:pt idx="145">
                  <c:v>133140.52088652566</c:v>
                </c:pt>
                <c:pt idx="146">
                  <c:v>134206.37968019649</c:v>
                </c:pt>
                <c:pt idx="147">
                  <c:v>135272.23847386733</c:v>
                </c:pt>
                <c:pt idx="148">
                  <c:v>136338.09726753813</c:v>
                </c:pt>
                <c:pt idx="149">
                  <c:v>137403.95606120888</c:v>
                </c:pt>
                <c:pt idx="150">
                  <c:v>138469.81485487975</c:v>
                </c:pt>
              </c:numCache>
            </c:numRef>
          </c:val>
          <c:smooth val="0"/>
          <c:extLst>
            <c:ext xmlns:c16="http://schemas.microsoft.com/office/drawing/2014/chart" uri="{C3380CC4-5D6E-409C-BE32-E72D297353CC}">
              <c16:uniqueId val="{00000001-86B3-4CE7-AF05-9B7820CAD7E0}"/>
            </c:ext>
          </c:extLst>
        </c:ser>
        <c:ser>
          <c:idx val="2"/>
          <c:order val="2"/>
          <c:tx>
            <c:strRef>
              <c:f>Sheet2!$D$1</c:f>
              <c:strCache>
                <c:ptCount val="1"/>
                <c:pt idx="0">
                  <c:v>PROSPER Act (Up to 40 Years)</c:v>
                </c:pt>
              </c:strCache>
            </c:strRef>
          </c:tx>
          <c:spPr>
            <a:ln w="28575" cap="rnd">
              <a:solidFill>
                <a:schemeClr val="accent3"/>
              </a:solidFill>
              <a:round/>
            </a:ln>
            <a:effectLst/>
          </c:spPr>
          <c:marker>
            <c:symbol val="none"/>
          </c:marker>
          <c:cat>
            <c:numRef>
              <c:f>Sheet2!$A$2:$A$152</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Sheet2!$D$2:$D$152</c:f>
              <c:numCache>
                <c:formatCode>"$"#,##0</c:formatCode>
                <c:ptCount val="151"/>
                <c:pt idx="0">
                  <c:v>6934.431592261938</c:v>
                </c:pt>
                <c:pt idx="1">
                  <c:v>6934.431592261938</c:v>
                </c:pt>
                <c:pt idx="2">
                  <c:v>6934.431592261938</c:v>
                </c:pt>
                <c:pt idx="3">
                  <c:v>6934.431592261938</c:v>
                </c:pt>
                <c:pt idx="4">
                  <c:v>6934.431592261938</c:v>
                </c:pt>
                <c:pt idx="5">
                  <c:v>6934.431592261938</c:v>
                </c:pt>
                <c:pt idx="6">
                  <c:v>6934.431592261938</c:v>
                </c:pt>
                <c:pt idx="7">
                  <c:v>6934.431592261938</c:v>
                </c:pt>
                <c:pt idx="8">
                  <c:v>6952.2300236097526</c:v>
                </c:pt>
                <c:pt idx="9">
                  <c:v>7191.0721980932485</c:v>
                </c:pt>
                <c:pt idx="10">
                  <c:v>7701.2334745977087</c:v>
                </c:pt>
                <c:pt idx="11">
                  <c:v>8449.2583345788862</c:v>
                </c:pt>
                <c:pt idx="12">
                  <c:v>9434.0068010108589</c:v>
                </c:pt>
                <c:pt idx="13">
                  <c:v>10628.433010498295</c:v>
                </c:pt>
                <c:pt idx="14">
                  <c:v>12020.39264139113</c:v>
                </c:pt>
                <c:pt idx="15">
                  <c:v>13598.196059592228</c:v>
                </c:pt>
                <c:pt idx="16">
                  <c:v>15350.308121726346</c:v>
                </c:pt>
                <c:pt idx="17">
                  <c:v>17265.338043308388</c:v>
                </c:pt>
                <c:pt idx="18">
                  <c:v>19337.294612524223</c:v>
                </c:pt>
                <c:pt idx="19">
                  <c:v>21561.035609826453</c:v>
                </c:pt>
                <c:pt idx="20">
                  <c:v>23918.147296646326</c:v>
                </c:pt>
                <c:pt idx="21">
                  <c:v>26410.614705370343</c:v>
                </c:pt>
                <c:pt idx="22">
                  <c:v>29028.682853749648</c:v>
                </c:pt>
                <c:pt idx="23">
                  <c:v>31766.424788327397</c:v>
                </c:pt>
                <c:pt idx="24">
                  <c:v>34616.510023447496</c:v>
                </c:pt>
                <c:pt idx="25">
                  <c:v>37581.689241525062</c:v>
                </c:pt>
                <c:pt idx="26">
                  <c:v>40644.492912497721</c:v>
                </c:pt>
                <c:pt idx="27">
                  <c:v>43810.407377078969</c:v>
                </c:pt>
                <c:pt idx="28">
                  <c:v>47076.613455937812</c:v>
                </c:pt>
                <c:pt idx="29">
                  <c:v>50431.545225002505</c:v>
                </c:pt>
                <c:pt idx="30">
                  <c:v>53872.831865869608</c:v>
                </c:pt>
                <c:pt idx="31">
                  <c:v>57398.117941179051</c:v>
                </c:pt>
                <c:pt idx="32">
                  <c:v>60936.510812605156</c:v>
                </c:pt>
                <c:pt idx="33">
                  <c:v>64474.90368403116</c:v>
                </c:pt>
                <c:pt idx="34">
                  <c:v>68013.296555457171</c:v>
                </c:pt>
                <c:pt idx="35">
                  <c:v>71551.689426883269</c:v>
                </c:pt>
                <c:pt idx="36">
                  <c:v>75090.082298309222</c:v>
                </c:pt>
                <c:pt idx="37">
                  <c:v>78628.475169735291</c:v>
                </c:pt>
                <c:pt idx="38">
                  <c:v>82166.868041161331</c:v>
                </c:pt>
                <c:pt idx="39">
                  <c:v>85705.260912587386</c:v>
                </c:pt>
                <c:pt idx="40">
                  <c:v>87324.585880454993</c:v>
                </c:pt>
                <c:pt idx="41">
                  <c:v>88663.428422698402</c:v>
                </c:pt>
                <c:pt idx="42">
                  <c:v>89954.657180266484</c:v>
                </c:pt>
                <c:pt idx="43">
                  <c:v>91214.821780411396</c:v>
                </c:pt>
                <c:pt idx="44">
                  <c:v>92444.973301299266</c:v>
                </c:pt>
                <c:pt idx="45">
                  <c:v>93634.000109206041</c:v>
                </c:pt>
                <c:pt idx="46">
                  <c:v>94804.365288807574</c:v>
                </c:pt>
                <c:pt idx="47">
                  <c:v>95929.897231122595</c:v>
                </c:pt>
                <c:pt idx="48">
                  <c:v>97041.775660804182</c:v>
                </c:pt>
                <c:pt idx="49">
                  <c:v>98111.564453269428</c:v>
                </c:pt>
                <c:pt idx="50">
                  <c:v>99166.264970007556</c:v>
                </c:pt>
                <c:pt idx="51">
                  <c:v>100188.17731342043</c:v>
                </c:pt>
                <c:pt idx="52">
                  <c:v>101187.01856315215</c:v>
                </c:pt>
                <c:pt idx="53">
                  <c:v>102169.04252963573</c:v>
                </c:pt>
                <c:pt idx="54">
                  <c:v>103113.35354475961</c:v>
                </c:pt>
                <c:pt idx="55">
                  <c:v>104057.6645598834</c:v>
                </c:pt>
                <c:pt idx="56">
                  <c:v>104954.72595270677</c:v>
                </c:pt>
                <c:pt idx="57">
                  <c:v>105845.84674418547</c:v>
                </c:pt>
                <c:pt idx="58">
                  <c:v>106720.73815316845</c:v>
                </c:pt>
                <c:pt idx="59">
                  <c:v>107560.02031769742</c:v>
                </c:pt>
                <c:pt idx="60">
                  <c:v>108399.30248222637</c:v>
                </c:pt>
                <c:pt idx="61">
                  <c:v>109209.95380548228</c:v>
                </c:pt>
                <c:pt idx="62">
                  <c:v>109998.761148202</c:v>
                </c:pt>
                <c:pt idx="63">
                  <c:v>110787.56849092172</c:v>
                </c:pt>
                <c:pt idx="64">
                  <c:v>111545.28735247646</c:v>
                </c:pt>
                <c:pt idx="65">
                  <c:v>112284.99652572063</c:v>
                </c:pt>
                <c:pt idx="66">
                  <c:v>113024.70569896478</c:v>
                </c:pt>
                <c:pt idx="67">
                  <c:v>113740.99729206991</c:v>
                </c:pt>
                <c:pt idx="68">
                  <c:v>114432.99845065574</c:v>
                </c:pt>
                <c:pt idx="69">
                  <c:v>115124.9996092416</c:v>
                </c:pt>
                <c:pt idx="70">
                  <c:v>115811.57708387103</c:v>
                </c:pt>
                <c:pt idx="71">
                  <c:v>116457.27455745358</c:v>
                </c:pt>
                <c:pt idx="72">
                  <c:v>117102.97203103612</c:v>
                </c:pt>
                <c:pt idx="73">
                  <c:v>117748.66950461861</c:v>
                </c:pt>
                <c:pt idx="74">
                  <c:v>118372.58019655346</c:v>
                </c:pt>
                <c:pt idx="75">
                  <c:v>118973.39317958026</c:v>
                </c:pt>
                <c:pt idx="76">
                  <c:v>119574.20616260709</c:v>
                </c:pt>
                <c:pt idx="77">
                  <c:v>120175.01914563387</c:v>
                </c:pt>
                <c:pt idx="78">
                  <c:v>120751.29415605076</c:v>
                </c:pt>
                <c:pt idx="79">
                  <c:v>121308.65741587026</c:v>
                </c:pt>
                <c:pt idx="80">
                  <c:v>121866.02067568971</c:v>
                </c:pt>
                <c:pt idx="81">
                  <c:v>122423.38393550921</c:v>
                </c:pt>
                <c:pt idx="82">
                  <c:v>122967.34442524404</c:v>
                </c:pt>
                <c:pt idx="83">
                  <c:v>123482.70902893592</c:v>
                </c:pt>
                <c:pt idx="84">
                  <c:v>123998.07363262773</c:v>
                </c:pt>
                <c:pt idx="85">
                  <c:v>124513.43823631956</c:v>
                </c:pt>
                <c:pt idx="86">
                  <c:v>125028.80284001141</c:v>
                </c:pt>
                <c:pt idx="87">
                  <c:v>125515.54426061946</c:v>
                </c:pt>
                <c:pt idx="88">
                  <c:v>125990.37832113368</c:v>
                </c:pt>
                <c:pt idx="89">
                  <c:v>126465.21238164796</c:v>
                </c:pt>
                <c:pt idx="90">
                  <c:v>126940.04644216223</c:v>
                </c:pt>
                <c:pt idx="91">
                  <c:v>127414.88050267647</c:v>
                </c:pt>
                <c:pt idx="92">
                  <c:v>127863.32078893681</c:v>
                </c:pt>
                <c:pt idx="93">
                  <c:v>128299.11023114437</c:v>
                </c:pt>
                <c:pt idx="94">
                  <c:v>128734.89967335195</c:v>
                </c:pt>
                <c:pt idx="95">
                  <c:v>129170.68911555949</c:v>
                </c:pt>
                <c:pt idx="96">
                  <c:v>129606.47855776707</c:v>
                </c:pt>
                <c:pt idx="97">
                  <c:v>130035.92728627825</c:v>
                </c:pt>
                <c:pt idx="98">
                  <c:v>130434.17663355416</c:v>
                </c:pt>
                <c:pt idx="99">
                  <c:v>130832.42598083013</c:v>
                </c:pt>
                <c:pt idx="100">
                  <c:v>131230.67532810607</c:v>
                </c:pt>
                <c:pt idx="101">
                  <c:v>131628.92467538203</c:v>
                </c:pt>
                <c:pt idx="102">
                  <c:v>132027.17402265791</c:v>
                </c:pt>
                <c:pt idx="103">
                  <c:v>132421.33575117608</c:v>
                </c:pt>
                <c:pt idx="104">
                  <c:v>132783.56893315513</c:v>
                </c:pt>
                <c:pt idx="105">
                  <c:v>133145.80211513414</c:v>
                </c:pt>
                <c:pt idx="106">
                  <c:v>133508.03529711315</c:v>
                </c:pt>
                <c:pt idx="107">
                  <c:v>133870.26847909216</c:v>
                </c:pt>
                <c:pt idx="108">
                  <c:v>134232.50166107126</c:v>
                </c:pt>
                <c:pt idx="109">
                  <c:v>134594.73484305028</c:v>
                </c:pt>
                <c:pt idx="110">
                  <c:v>134942.37792225418</c:v>
                </c:pt>
                <c:pt idx="111">
                  <c:v>135270.13910441694</c:v>
                </c:pt>
                <c:pt idx="112">
                  <c:v>135597.90028657977</c:v>
                </c:pt>
                <c:pt idx="113">
                  <c:v>135925.66146874256</c:v>
                </c:pt>
                <c:pt idx="114">
                  <c:v>136253.42265090533</c:v>
                </c:pt>
                <c:pt idx="115">
                  <c:v>136581.18383306812</c:v>
                </c:pt>
                <c:pt idx="116">
                  <c:v>136908.94501523089</c:v>
                </c:pt>
                <c:pt idx="117">
                  <c:v>137236.70619739368</c:v>
                </c:pt>
                <c:pt idx="118">
                  <c:v>137531.810117274</c:v>
                </c:pt>
                <c:pt idx="119">
                  <c:v>137826.66455304218</c:v>
                </c:pt>
                <c:pt idx="120">
                  <c:v>138121.51898881033</c:v>
                </c:pt>
                <c:pt idx="121">
                  <c:v>138416.37342457852</c:v>
                </c:pt>
                <c:pt idx="122">
                  <c:v>138711.2278603467</c:v>
                </c:pt>
                <c:pt idx="123">
                  <c:v>139006.08229611482</c:v>
                </c:pt>
                <c:pt idx="124">
                  <c:v>139300.936731883</c:v>
                </c:pt>
                <c:pt idx="125">
                  <c:v>139595.79116765116</c:v>
                </c:pt>
                <c:pt idx="126">
                  <c:v>139869.02287948568</c:v>
                </c:pt>
                <c:pt idx="127">
                  <c:v>140132.55778552371</c:v>
                </c:pt>
                <c:pt idx="128">
                  <c:v>140396.09269156176</c:v>
                </c:pt>
                <c:pt idx="129">
                  <c:v>140659.62759759981</c:v>
                </c:pt>
                <c:pt idx="130">
                  <c:v>140923.16250363787</c:v>
                </c:pt>
                <c:pt idx="131">
                  <c:v>141186.69740967589</c:v>
                </c:pt>
                <c:pt idx="132">
                  <c:v>141450.23231571398</c:v>
                </c:pt>
                <c:pt idx="133">
                  <c:v>141713.767221752</c:v>
                </c:pt>
                <c:pt idx="134">
                  <c:v>141977.30212779003</c:v>
                </c:pt>
                <c:pt idx="135">
                  <c:v>142230.32344834134</c:v>
                </c:pt>
                <c:pt idx="136">
                  <c:v>142464.14890378434</c:v>
                </c:pt>
                <c:pt idx="137">
                  <c:v>142697.97435922732</c:v>
                </c:pt>
                <c:pt idx="138">
                  <c:v>142931.79981467029</c:v>
                </c:pt>
                <c:pt idx="139">
                  <c:v>143165.62527011323</c:v>
                </c:pt>
                <c:pt idx="140">
                  <c:v>143399.45072555621</c:v>
                </c:pt>
                <c:pt idx="141">
                  <c:v>143633.27618099918</c:v>
                </c:pt>
                <c:pt idx="142">
                  <c:v>143867.10163644218</c:v>
                </c:pt>
                <c:pt idx="143">
                  <c:v>144100.92709188515</c:v>
                </c:pt>
                <c:pt idx="144">
                  <c:v>144334.7525473281</c:v>
                </c:pt>
                <c:pt idx="145">
                  <c:v>144568.5780027711</c:v>
                </c:pt>
                <c:pt idx="146">
                  <c:v>144780.61520992851</c:v>
                </c:pt>
                <c:pt idx="147">
                  <c:v>144986.36508027569</c:v>
                </c:pt>
                <c:pt idx="148">
                  <c:v>145192.11495062281</c:v>
                </c:pt>
                <c:pt idx="149">
                  <c:v>145397.8648209699</c:v>
                </c:pt>
                <c:pt idx="150">
                  <c:v>145603.61469131705</c:v>
                </c:pt>
              </c:numCache>
            </c:numRef>
          </c:val>
          <c:smooth val="0"/>
          <c:extLst>
            <c:ext xmlns:c16="http://schemas.microsoft.com/office/drawing/2014/chart" uri="{C3380CC4-5D6E-409C-BE32-E72D297353CC}">
              <c16:uniqueId val="{00000002-86B3-4CE7-AF05-9B7820CAD7E0}"/>
            </c:ext>
          </c:extLst>
        </c:ser>
        <c:ser>
          <c:idx val="3"/>
          <c:order val="3"/>
          <c:tx>
            <c:strRef>
              <c:f>Sheet2!$E$1</c:f>
              <c:strCache>
                <c:ptCount val="1"/>
                <c:pt idx="0">
                  <c:v>Standard (10 Years)</c:v>
                </c:pt>
              </c:strCache>
            </c:strRef>
          </c:tx>
          <c:spPr>
            <a:ln w="28575" cap="rnd">
              <a:solidFill>
                <a:schemeClr val="accent4"/>
              </a:solidFill>
              <a:round/>
            </a:ln>
            <a:effectLst/>
          </c:spPr>
          <c:marker>
            <c:symbol val="none"/>
          </c:marker>
          <c:cat>
            <c:numRef>
              <c:f>Sheet2!$A$2:$A$152</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Sheet2!$E$2:$E$152</c:f>
              <c:numCache>
                <c:formatCode>"$"#,##0</c:formatCode>
                <c:ptCount val="151"/>
                <c:pt idx="0">
                  <c:v>158819.43691361806</c:v>
                </c:pt>
                <c:pt idx="1">
                  <c:v>158819.43691361806</c:v>
                </c:pt>
                <c:pt idx="2">
                  <c:v>158819.43691361806</c:v>
                </c:pt>
                <c:pt idx="3">
                  <c:v>158819.43691361806</c:v>
                </c:pt>
                <c:pt idx="4">
                  <c:v>158819.43691361806</c:v>
                </c:pt>
                <c:pt idx="5">
                  <c:v>158819.43691361806</c:v>
                </c:pt>
                <c:pt idx="6">
                  <c:v>158819.43691361806</c:v>
                </c:pt>
                <c:pt idx="7">
                  <c:v>158819.43691361806</c:v>
                </c:pt>
                <c:pt idx="8">
                  <c:v>158819.43691361806</c:v>
                </c:pt>
                <c:pt idx="9">
                  <c:v>158819.43691361806</c:v>
                </c:pt>
                <c:pt idx="10">
                  <c:v>158819.43691361806</c:v>
                </c:pt>
                <c:pt idx="11">
                  <c:v>158819.43691361806</c:v>
                </c:pt>
                <c:pt idx="12">
                  <c:v>158819.43691361806</c:v>
                </c:pt>
                <c:pt idx="13">
                  <c:v>158819.43691361806</c:v>
                </c:pt>
                <c:pt idx="14">
                  <c:v>158819.43691361806</c:v>
                </c:pt>
                <c:pt idx="15">
                  <c:v>158819.43691361806</c:v>
                </c:pt>
                <c:pt idx="16">
                  <c:v>158819.43691361806</c:v>
                </c:pt>
                <c:pt idx="17">
                  <c:v>158819.43691361806</c:v>
                </c:pt>
                <c:pt idx="18">
                  <c:v>158819.43691361806</c:v>
                </c:pt>
                <c:pt idx="19">
                  <c:v>158819.43691361806</c:v>
                </c:pt>
                <c:pt idx="20">
                  <c:v>158819.43691361806</c:v>
                </c:pt>
                <c:pt idx="21">
                  <c:v>158819.43691361806</c:v>
                </c:pt>
                <c:pt idx="22">
                  <c:v>158819.43691361806</c:v>
                </c:pt>
                <c:pt idx="23">
                  <c:v>158819.43691361806</c:v>
                </c:pt>
                <c:pt idx="24">
                  <c:v>158819.43691361806</c:v>
                </c:pt>
                <c:pt idx="25">
                  <c:v>158819.43691361806</c:v>
                </c:pt>
                <c:pt idx="26">
                  <c:v>158819.43691361806</c:v>
                </c:pt>
                <c:pt idx="27">
                  <c:v>158819.43691361806</c:v>
                </c:pt>
                <c:pt idx="28">
                  <c:v>158819.43691361806</c:v>
                </c:pt>
                <c:pt idx="29">
                  <c:v>158819.43691361806</c:v>
                </c:pt>
                <c:pt idx="30">
                  <c:v>158819.43691361806</c:v>
                </c:pt>
                <c:pt idx="31">
                  <c:v>158819.43691361806</c:v>
                </c:pt>
                <c:pt idx="32">
                  <c:v>158819.43691361806</c:v>
                </c:pt>
                <c:pt idx="33">
                  <c:v>158819.43691361806</c:v>
                </c:pt>
                <c:pt idx="34">
                  <c:v>158819.43691361806</c:v>
                </c:pt>
                <c:pt idx="35">
                  <c:v>158819.43691361806</c:v>
                </c:pt>
                <c:pt idx="36">
                  <c:v>158819.43691361806</c:v>
                </c:pt>
                <c:pt idx="37">
                  <c:v>158819.43691361806</c:v>
                </c:pt>
                <c:pt idx="38">
                  <c:v>158819.43691361806</c:v>
                </c:pt>
                <c:pt idx="39">
                  <c:v>158819.43691361806</c:v>
                </c:pt>
                <c:pt idx="40">
                  <c:v>158819.43691361806</c:v>
                </c:pt>
                <c:pt idx="41">
                  <c:v>158819.43691361806</c:v>
                </c:pt>
                <c:pt idx="42">
                  <c:v>158819.43691361806</c:v>
                </c:pt>
                <c:pt idx="43">
                  <c:v>158819.43691361806</c:v>
                </c:pt>
                <c:pt idx="44">
                  <c:v>158819.43691361806</c:v>
                </c:pt>
                <c:pt idx="45">
                  <c:v>158819.43691361806</c:v>
                </c:pt>
                <c:pt idx="46">
                  <c:v>158819.43691361806</c:v>
                </c:pt>
                <c:pt idx="47">
                  <c:v>158819.43691361806</c:v>
                </c:pt>
                <c:pt idx="48">
                  <c:v>158819.43691361806</c:v>
                </c:pt>
                <c:pt idx="49">
                  <c:v>158819.43691361806</c:v>
                </c:pt>
                <c:pt idx="50">
                  <c:v>158819.43691361806</c:v>
                </c:pt>
                <c:pt idx="51">
                  <c:v>158819.43691361806</c:v>
                </c:pt>
                <c:pt idx="52">
                  <c:v>158819.43691361806</c:v>
                </c:pt>
                <c:pt idx="53">
                  <c:v>158819.43691361806</c:v>
                </c:pt>
                <c:pt idx="54">
                  <c:v>158819.43691361806</c:v>
                </c:pt>
                <c:pt idx="55">
                  <c:v>158819.43691361806</c:v>
                </c:pt>
                <c:pt idx="56">
                  <c:v>158819.43691361806</c:v>
                </c:pt>
                <c:pt idx="57">
                  <c:v>158819.43691361806</c:v>
                </c:pt>
                <c:pt idx="58">
                  <c:v>158819.43691361806</c:v>
                </c:pt>
                <c:pt idx="59">
                  <c:v>158819.43691361806</c:v>
                </c:pt>
                <c:pt idx="60">
                  <c:v>158819.43691361806</c:v>
                </c:pt>
                <c:pt idx="61">
                  <c:v>158819.43691361806</c:v>
                </c:pt>
                <c:pt idx="62">
                  <c:v>158819.43691361806</c:v>
                </c:pt>
                <c:pt idx="63">
                  <c:v>158819.43691361806</c:v>
                </c:pt>
                <c:pt idx="64">
                  <c:v>158819.43691361806</c:v>
                </c:pt>
                <c:pt idx="65">
                  <c:v>158819.43691361806</c:v>
                </c:pt>
                <c:pt idx="66">
                  <c:v>158819.43691361806</c:v>
                </c:pt>
                <c:pt idx="67">
                  <c:v>158819.43691361806</c:v>
                </c:pt>
                <c:pt idx="68">
                  <c:v>158819.43691361806</c:v>
                </c:pt>
                <c:pt idx="69">
                  <c:v>158819.43691361806</c:v>
                </c:pt>
                <c:pt idx="70">
                  <c:v>158819.43691361806</c:v>
                </c:pt>
                <c:pt idx="71">
                  <c:v>158819.43691361806</c:v>
                </c:pt>
                <c:pt idx="72">
                  <c:v>158819.43691361806</c:v>
                </c:pt>
                <c:pt idx="73">
                  <c:v>158819.43691361806</c:v>
                </c:pt>
                <c:pt idx="74">
                  <c:v>158819.43691361806</c:v>
                </c:pt>
                <c:pt idx="75">
                  <c:v>158819.43691361806</c:v>
                </c:pt>
                <c:pt idx="76">
                  <c:v>158819.43691361806</c:v>
                </c:pt>
                <c:pt idx="77">
                  <c:v>158819.43691361806</c:v>
                </c:pt>
                <c:pt idx="78">
                  <c:v>158819.43691361806</c:v>
                </c:pt>
                <c:pt idx="79">
                  <c:v>158819.43691361806</c:v>
                </c:pt>
                <c:pt idx="80">
                  <c:v>158819.43691361806</c:v>
                </c:pt>
                <c:pt idx="81">
                  <c:v>158819.43691361806</c:v>
                </c:pt>
                <c:pt idx="82">
                  <c:v>158819.43691361806</c:v>
                </c:pt>
                <c:pt idx="83">
                  <c:v>158819.43691361806</c:v>
                </c:pt>
                <c:pt idx="84">
                  <c:v>158819.43691361806</c:v>
                </c:pt>
                <c:pt idx="85">
                  <c:v>158819.43691361806</c:v>
                </c:pt>
                <c:pt idx="86">
                  <c:v>158819.43691361806</c:v>
                </c:pt>
                <c:pt idx="87">
                  <c:v>158819.43691361806</c:v>
                </c:pt>
                <c:pt idx="88">
                  <c:v>158819.43691361806</c:v>
                </c:pt>
                <c:pt idx="89">
                  <c:v>158819.43691361806</c:v>
                </c:pt>
                <c:pt idx="90">
                  <c:v>158819.43691361806</c:v>
                </c:pt>
                <c:pt idx="91">
                  <c:v>158819.43691361806</c:v>
                </c:pt>
                <c:pt idx="92">
                  <c:v>158819.43691361806</c:v>
                </c:pt>
                <c:pt idx="93">
                  <c:v>158819.43691361806</c:v>
                </c:pt>
                <c:pt idx="94">
                  <c:v>158819.43691361806</c:v>
                </c:pt>
                <c:pt idx="95">
                  <c:v>158819.43691361806</c:v>
                </c:pt>
                <c:pt idx="96">
                  <c:v>158819.43691361806</c:v>
                </c:pt>
                <c:pt idx="97">
                  <c:v>158819.43691361806</c:v>
                </c:pt>
                <c:pt idx="98">
                  <c:v>158819.43691361806</c:v>
                </c:pt>
                <c:pt idx="99">
                  <c:v>158819.43691361806</c:v>
                </c:pt>
                <c:pt idx="100">
                  <c:v>158819.43691361806</c:v>
                </c:pt>
                <c:pt idx="101">
                  <c:v>158819.43691361806</c:v>
                </c:pt>
                <c:pt idx="102">
                  <c:v>158819.43691361806</c:v>
                </c:pt>
                <c:pt idx="103">
                  <c:v>158819.43691361806</c:v>
                </c:pt>
                <c:pt idx="104">
                  <c:v>158819.43691361806</c:v>
                </c:pt>
                <c:pt idx="105">
                  <c:v>158819.43691361806</c:v>
                </c:pt>
                <c:pt idx="106">
                  <c:v>158819.43691361806</c:v>
                </c:pt>
                <c:pt idx="107">
                  <c:v>158819.43691361806</c:v>
                </c:pt>
                <c:pt idx="108">
                  <c:v>158819.43691361806</c:v>
                </c:pt>
                <c:pt idx="109">
                  <c:v>158819.43691361806</c:v>
                </c:pt>
                <c:pt idx="110">
                  <c:v>158819.43691361806</c:v>
                </c:pt>
                <c:pt idx="111">
                  <c:v>158819.43691361806</c:v>
                </c:pt>
                <c:pt idx="112">
                  <c:v>158819.43691361806</c:v>
                </c:pt>
                <c:pt idx="113">
                  <c:v>158819.43691361806</c:v>
                </c:pt>
                <c:pt idx="114">
                  <c:v>158819.43691361806</c:v>
                </c:pt>
                <c:pt idx="115">
                  <c:v>158819.43691361806</c:v>
                </c:pt>
                <c:pt idx="116">
                  <c:v>158819.43691361806</c:v>
                </c:pt>
                <c:pt idx="117">
                  <c:v>158819.43691361806</c:v>
                </c:pt>
                <c:pt idx="118">
                  <c:v>158819.43691361806</c:v>
                </c:pt>
                <c:pt idx="119">
                  <c:v>158819.43691361806</c:v>
                </c:pt>
                <c:pt idx="120">
                  <c:v>158819.43691361806</c:v>
                </c:pt>
                <c:pt idx="121">
                  <c:v>158819.43691361806</c:v>
                </c:pt>
                <c:pt idx="122">
                  <c:v>158819.43691361806</c:v>
                </c:pt>
                <c:pt idx="123">
                  <c:v>158819.43691361806</c:v>
                </c:pt>
                <c:pt idx="124">
                  <c:v>158819.43691361806</c:v>
                </c:pt>
                <c:pt idx="125">
                  <c:v>158819.43691361806</c:v>
                </c:pt>
                <c:pt idx="126">
                  <c:v>158819.43691361806</c:v>
                </c:pt>
                <c:pt idx="127">
                  <c:v>158819.43691361806</c:v>
                </c:pt>
                <c:pt idx="128">
                  <c:v>158819.43691361806</c:v>
                </c:pt>
                <c:pt idx="129">
                  <c:v>158819.43691361806</c:v>
                </c:pt>
                <c:pt idx="130">
                  <c:v>158819.43691361806</c:v>
                </c:pt>
                <c:pt idx="131">
                  <c:v>158819.43691361806</c:v>
                </c:pt>
                <c:pt idx="132">
                  <c:v>158819.43691361806</c:v>
                </c:pt>
                <c:pt idx="133">
                  <c:v>158819.43691361806</c:v>
                </c:pt>
                <c:pt idx="134">
                  <c:v>158819.43691361806</c:v>
                </c:pt>
                <c:pt idx="135">
                  <c:v>158819.43691361806</c:v>
                </c:pt>
                <c:pt idx="136">
                  <c:v>158819.43691361806</c:v>
                </c:pt>
                <c:pt idx="137">
                  <c:v>158819.43691361806</c:v>
                </c:pt>
                <c:pt idx="138">
                  <c:v>158819.43691361806</c:v>
                </c:pt>
                <c:pt idx="139">
                  <c:v>158819.43691361806</c:v>
                </c:pt>
                <c:pt idx="140">
                  <c:v>158819.43691361806</c:v>
                </c:pt>
                <c:pt idx="141">
                  <c:v>158819.43691361806</c:v>
                </c:pt>
                <c:pt idx="142">
                  <c:v>158819.43691361806</c:v>
                </c:pt>
                <c:pt idx="143">
                  <c:v>158819.43691361806</c:v>
                </c:pt>
                <c:pt idx="144">
                  <c:v>158819.43691361806</c:v>
                </c:pt>
                <c:pt idx="145">
                  <c:v>158819.43691361806</c:v>
                </c:pt>
                <c:pt idx="146">
                  <c:v>158819.43691361806</c:v>
                </c:pt>
                <c:pt idx="147">
                  <c:v>158819.43691361806</c:v>
                </c:pt>
                <c:pt idx="148">
                  <c:v>158819.43691361806</c:v>
                </c:pt>
                <c:pt idx="149">
                  <c:v>158819.43691361806</c:v>
                </c:pt>
                <c:pt idx="150">
                  <c:v>158819.43691361806</c:v>
                </c:pt>
              </c:numCache>
            </c:numRef>
          </c:val>
          <c:smooth val="0"/>
          <c:extLst>
            <c:ext xmlns:c16="http://schemas.microsoft.com/office/drawing/2014/chart" uri="{C3380CC4-5D6E-409C-BE32-E72D297353CC}">
              <c16:uniqueId val="{00000001-9013-41C7-A390-77141F03626B}"/>
            </c:ext>
          </c:extLst>
        </c:ser>
        <c:dLbls>
          <c:showLegendKey val="0"/>
          <c:showVal val="0"/>
          <c:showCatName val="0"/>
          <c:showSerName val="0"/>
          <c:showPercent val="0"/>
          <c:showBubbleSize val="0"/>
        </c:dLbls>
        <c:smooth val="0"/>
        <c:axId val="43731360"/>
        <c:axId val="398422240"/>
      </c:lineChart>
      <c:catAx>
        <c:axId val="43731360"/>
        <c:scaling>
          <c:orientation val="minMax"/>
        </c:scaling>
        <c:delete val="0"/>
        <c:axPos val="b"/>
        <c:numFmt formatCode="&quot;$&quot;#,##0_);[Red]\(&quot;$&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8422240"/>
        <c:crosses val="autoZero"/>
        <c:auto val="1"/>
        <c:lblAlgn val="ctr"/>
        <c:lblOffset val="100"/>
        <c:noMultiLvlLbl val="0"/>
      </c:catAx>
      <c:valAx>
        <c:axId val="3984222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31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5401351674115E-2"/>
          <c:y val="0.1767477519442445"/>
          <c:w val="0.89895039784681829"/>
          <c:h val="0.64249707427719349"/>
        </c:manualLayout>
      </c:layout>
      <c:areaChart>
        <c:grouping val="stacked"/>
        <c:varyColors val="0"/>
        <c:ser>
          <c:idx val="0"/>
          <c:order val="4"/>
          <c:tx>
            <c:strRef>
              <c:f>Sheet2!$F$1</c:f>
              <c:strCache>
                <c:ptCount val="1"/>
                <c:pt idx="0">
                  <c:v>Underset</c:v>
                </c:pt>
              </c:strCache>
            </c:strRef>
          </c:tx>
          <c:spPr>
            <a:noFill/>
            <a:ln>
              <a:noFill/>
            </a:ln>
            <a:effectLst/>
          </c:spPr>
          <c:cat>
            <c:numRef>
              <c:f>Sheet2!$A$2:$A$232</c:f>
              <c:numCache>
                <c:formatCode>"$"#,##0_);[Red]\("$"#,##0\)</c:formatCode>
                <c:ptCount val="23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pt idx="173">
                  <c:v>91500</c:v>
                </c:pt>
                <c:pt idx="174">
                  <c:v>92000</c:v>
                </c:pt>
                <c:pt idx="175">
                  <c:v>92500</c:v>
                </c:pt>
                <c:pt idx="176">
                  <c:v>93000</c:v>
                </c:pt>
                <c:pt idx="177">
                  <c:v>93500</c:v>
                </c:pt>
                <c:pt idx="178">
                  <c:v>94000</c:v>
                </c:pt>
                <c:pt idx="179">
                  <c:v>94500</c:v>
                </c:pt>
                <c:pt idx="180">
                  <c:v>95000</c:v>
                </c:pt>
                <c:pt idx="181">
                  <c:v>95500</c:v>
                </c:pt>
                <c:pt idx="182">
                  <c:v>96000</c:v>
                </c:pt>
                <c:pt idx="183">
                  <c:v>96500</c:v>
                </c:pt>
                <c:pt idx="184">
                  <c:v>97000</c:v>
                </c:pt>
                <c:pt idx="185">
                  <c:v>97500</c:v>
                </c:pt>
                <c:pt idx="186">
                  <c:v>98000</c:v>
                </c:pt>
                <c:pt idx="187">
                  <c:v>98500</c:v>
                </c:pt>
                <c:pt idx="188">
                  <c:v>99000</c:v>
                </c:pt>
                <c:pt idx="189">
                  <c:v>99500</c:v>
                </c:pt>
                <c:pt idx="190">
                  <c:v>100000</c:v>
                </c:pt>
                <c:pt idx="191">
                  <c:v>100500</c:v>
                </c:pt>
                <c:pt idx="192">
                  <c:v>101000</c:v>
                </c:pt>
                <c:pt idx="193">
                  <c:v>101500</c:v>
                </c:pt>
                <c:pt idx="194">
                  <c:v>102000</c:v>
                </c:pt>
                <c:pt idx="195">
                  <c:v>102500</c:v>
                </c:pt>
                <c:pt idx="196">
                  <c:v>103000</c:v>
                </c:pt>
                <c:pt idx="197">
                  <c:v>103500</c:v>
                </c:pt>
                <c:pt idx="198">
                  <c:v>104000</c:v>
                </c:pt>
                <c:pt idx="199">
                  <c:v>104500</c:v>
                </c:pt>
                <c:pt idx="200">
                  <c:v>105000</c:v>
                </c:pt>
                <c:pt idx="201">
                  <c:v>105500</c:v>
                </c:pt>
                <c:pt idx="202">
                  <c:v>106000</c:v>
                </c:pt>
                <c:pt idx="203">
                  <c:v>106500</c:v>
                </c:pt>
                <c:pt idx="204">
                  <c:v>107000</c:v>
                </c:pt>
                <c:pt idx="205">
                  <c:v>107500</c:v>
                </c:pt>
                <c:pt idx="206">
                  <c:v>108000</c:v>
                </c:pt>
                <c:pt idx="207">
                  <c:v>108500</c:v>
                </c:pt>
                <c:pt idx="208">
                  <c:v>109000</c:v>
                </c:pt>
                <c:pt idx="209">
                  <c:v>109500</c:v>
                </c:pt>
                <c:pt idx="210">
                  <c:v>110000</c:v>
                </c:pt>
                <c:pt idx="211">
                  <c:v>110500</c:v>
                </c:pt>
                <c:pt idx="212">
                  <c:v>111000</c:v>
                </c:pt>
                <c:pt idx="213">
                  <c:v>111500</c:v>
                </c:pt>
                <c:pt idx="214">
                  <c:v>112000</c:v>
                </c:pt>
                <c:pt idx="215">
                  <c:v>112500</c:v>
                </c:pt>
                <c:pt idx="216">
                  <c:v>113000</c:v>
                </c:pt>
                <c:pt idx="217">
                  <c:v>113500</c:v>
                </c:pt>
                <c:pt idx="218">
                  <c:v>114000</c:v>
                </c:pt>
                <c:pt idx="219">
                  <c:v>114500</c:v>
                </c:pt>
                <c:pt idx="220">
                  <c:v>115000</c:v>
                </c:pt>
                <c:pt idx="221">
                  <c:v>115500</c:v>
                </c:pt>
                <c:pt idx="222">
                  <c:v>116000</c:v>
                </c:pt>
                <c:pt idx="223">
                  <c:v>116500</c:v>
                </c:pt>
                <c:pt idx="224">
                  <c:v>117000</c:v>
                </c:pt>
                <c:pt idx="225">
                  <c:v>117500</c:v>
                </c:pt>
                <c:pt idx="226">
                  <c:v>118000</c:v>
                </c:pt>
                <c:pt idx="227">
                  <c:v>118500</c:v>
                </c:pt>
                <c:pt idx="228">
                  <c:v>119000</c:v>
                </c:pt>
                <c:pt idx="229">
                  <c:v>119500</c:v>
                </c:pt>
                <c:pt idx="230">
                  <c:v>120000</c:v>
                </c:pt>
              </c:numCache>
            </c:numRef>
          </c:cat>
          <c:val>
            <c:numRef>
              <c:f>Sheet2!$F$2:$F$232</c:f>
              <c:numCache>
                <c:formatCode>"$"#,##0</c:formatCode>
                <c:ptCount val="2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85.760191889706704</c:v>
                </c:pt>
                <c:pt idx="17">
                  <c:v>285.92954313485075</c:v>
                </c:pt>
                <c:pt idx="18">
                  <c:v>593.89475749614212</c:v>
                </c:pt>
                <c:pt idx="19">
                  <c:v>1003.1665887980402</c:v>
                </c:pt>
                <c:pt idx="20">
                  <c:v>1507.3757972168971</c:v>
                </c:pt>
                <c:pt idx="21">
                  <c:v>2100.2691810652213</c:v>
                </c:pt>
                <c:pt idx="22">
                  <c:v>2786.0460812948072</c:v>
                </c:pt>
                <c:pt idx="23">
                  <c:v>3551.6789364242363</c:v>
                </c:pt>
                <c:pt idx="24">
                  <c:v>4396.4904629984067</c:v>
                </c:pt>
                <c:pt idx="25">
                  <c:v>5318.4817644191808</c:v>
                </c:pt>
                <c:pt idx="26">
                  <c:v>6312.062303777614</c:v>
                </c:pt>
                <c:pt idx="27">
                  <c:v>7369.1832333707553</c:v>
                </c:pt>
                <c:pt idx="28">
                  <c:v>8435.042027041558</c:v>
                </c:pt>
                <c:pt idx="29">
                  <c:v>9500.9008207123643</c:v>
                </c:pt>
                <c:pt idx="30">
                  <c:v>10566.759614383174</c:v>
                </c:pt>
                <c:pt idx="31">
                  <c:v>11632.618408053962</c:v>
                </c:pt>
                <c:pt idx="32">
                  <c:v>12698.477201724781</c:v>
                </c:pt>
                <c:pt idx="33">
                  <c:v>13764.335995395577</c:v>
                </c:pt>
                <c:pt idx="34">
                  <c:v>14830.194789066376</c:v>
                </c:pt>
                <c:pt idx="35">
                  <c:v>15896.053582737197</c:v>
                </c:pt>
                <c:pt idx="36">
                  <c:v>16961.912376407985</c:v>
                </c:pt>
                <c:pt idx="37">
                  <c:v>18027.771170078806</c:v>
                </c:pt>
                <c:pt idx="38">
                  <c:v>19093.629963749609</c:v>
                </c:pt>
                <c:pt idx="39">
                  <c:v>20159.488757420415</c:v>
                </c:pt>
                <c:pt idx="40">
                  <c:v>21225.347551091218</c:v>
                </c:pt>
                <c:pt idx="41">
                  <c:v>22291.206344762009</c:v>
                </c:pt>
                <c:pt idx="42">
                  <c:v>23357.06513843283</c:v>
                </c:pt>
                <c:pt idx="43">
                  <c:v>24422.923932103622</c:v>
                </c:pt>
                <c:pt idx="44">
                  <c:v>25488.782725774421</c:v>
                </c:pt>
                <c:pt idx="45">
                  <c:v>26554.641519445231</c:v>
                </c:pt>
                <c:pt idx="46">
                  <c:v>27620.50031311603</c:v>
                </c:pt>
                <c:pt idx="47">
                  <c:v>28686.359106786855</c:v>
                </c:pt>
                <c:pt idx="48">
                  <c:v>29752.217900457639</c:v>
                </c:pt>
                <c:pt idx="49">
                  <c:v>30818.076694128446</c:v>
                </c:pt>
                <c:pt idx="50">
                  <c:v>31883.935487799255</c:v>
                </c:pt>
                <c:pt idx="51">
                  <c:v>32949.79428147008</c:v>
                </c:pt>
                <c:pt idx="52">
                  <c:v>34015.653075140872</c:v>
                </c:pt>
                <c:pt idx="53">
                  <c:v>35081.511868811671</c:v>
                </c:pt>
                <c:pt idx="54">
                  <c:v>36147.37066248247</c:v>
                </c:pt>
                <c:pt idx="55">
                  <c:v>37213.229456153269</c:v>
                </c:pt>
                <c:pt idx="56">
                  <c:v>38279.088249824083</c:v>
                </c:pt>
                <c:pt idx="57">
                  <c:v>39344.947043494889</c:v>
                </c:pt>
                <c:pt idx="58">
                  <c:v>40410.80583716571</c:v>
                </c:pt>
                <c:pt idx="59">
                  <c:v>41476.664630836502</c:v>
                </c:pt>
                <c:pt idx="60">
                  <c:v>42542.523424507286</c:v>
                </c:pt>
                <c:pt idx="61">
                  <c:v>43608.382218178107</c:v>
                </c:pt>
                <c:pt idx="62">
                  <c:v>44674.241011848913</c:v>
                </c:pt>
                <c:pt idx="63">
                  <c:v>45740.09980551972</c:v>
                </c:pt>
                <c:pt idx="64">
                  <c:v>46805.958599190519</c:v>
                </c:pt>
                <c:pt idx="65">
                  <c:v>47871.817392861325</c:v>
                </c:pt>
                <c:pt idx="66">
                  <c:v>48937.676186532131</c:v>
                </c:pt>
                <c:pt idx="67">
                  <c:v>50003.534980202923</c:v>
                </c:pt>
                <c:pt idx="68">
                  <c:v>51069.393773873737</c:v>
                </c:pt>
                <c:pt idx="69">
                  <c:v>52135.252567544543</c:v>
                </c:pt>
                <c:pt idx="70">
                  <c:v>53201.111361215342</c:v>
                </c:pt>
                <c:pt idx="71">
                  <c:v>54266.970154886149</c:v>
                </c:pt>
                <c:pt idx="72">
                  <c:v>55332.82894855694</c:v>
                </c:pt>
                <c:pt idx="73">
                  <c:v>56398.687742227747</c:v>
                </c:pt>
                <c:pt idx="74">
                  <c:v>57464.546535898568</c:v>
                </c:pt>
                <c:pt idx="75">
                  <c:v>58530.405329569381</c:v>
                </c:pt>
                <c:pt idx="76">
                  <c:v>59596.264123240166</c:v>
                </c:pt>
                <c:pt idx="77">
                  <c:v>60662.122916910987</c:v>
                </c:pt>
                <c:pt idx="78">
                  <c:v>61727.981710581756</c:v>
                </c:pt>
                <c:pt idx="79">
                  <c:v>62793.840504252592</c:v>
                </c:pt>
                <c:pt idx="80">
                  <c:v>63859.699297923391</c:v>
                </c:pt>
                <c:pt idx="81">
                  <c:v>64925.558091594205</c:v>
                </c:pt>
                <c:pt idx="82">
                  <c:v>65991.416885264975</c:v>
                </c:pt>
                <c:pt idx="83">
                  <c:v>67057.27567893581</c:v>
                </c:pt>
                <c:pt idx="84">
                  <c:v>68123.134472606616</c:v>
                </c:pt>
                <c:pt idx="85">
                  <c:v>69188.993266277394</c:v>
                </c:pt>
                <c:pt idx="86">
                  <c:v>70254.852059948214</c:v>
                </c:pt>
                <c:pt idx="87">
                  <c:v>71320.710853619006</c:v>
                </c:pt>
                <c:pt idx="88">
                  <c:v>72386.569647289856</c:v>
                </c:pt>
                <c:pt idx="89">
                  <c:v>73452.428440960633</c:v>
                </c:pt>
                <c:pt idx="90">
                  <c:v>74518.287234631454</c:v>
                </c:pt>
                <c:pt idx="91">
                  <c:v>75584.146028302261</c:v>
                </c:pt>
                <c:pt idx="92">
                  <c:v>76650.004821973038</c:v>
                </c:pt>
                <c:pt idx="93">
                  <c:v>77715.863615643873</c:v>
                </c:pt>
                <c:pt idx="94">
                  <c:v>78781.722409314665</c:v>
                </c:pt>
                <c:pt idx="95">
                  <c:v>79847.581202985442</c:v>
                </c:pt>
                <c:pt idx="96">
                  <c:v>80913.439996656263</c:v>
                </c:pt>
                <c:pt idx="97">
                  <c:v>81979.29879032707</c:v>
                </c:pt>
                <c:pt idx="98">
                  <c:v>83045.157583997847</c:v>
                </c:pt>
                <c:pt idx="99">
                  <c:v>84111.016377668682</c:v>
                </c:pt>
                <c:pt idx="100">
                  <c:v>85176.875171339459</c:v>
                </c:pt>
                <c:pt idx="101">
                  <c:v>86242.733965010324</c:v>
                </c:pt>
                <c:pt idx="102">
                  <c:v>87308.592758681072</c:v>
                </c:pt>
                <c:pt idx="103">
                  <c:v>88374.451552351893</c:v>
                </c:pt>
                <c:pt idx="104">
                  <c:v>89440.310346022699</c:v>
                </c:pt>
                <c:pt idx="105">
                  <c:v>90506.169139693506</c:v>
                </c:pt>
                <c:pt idx="106">
                  <c:v>91572.027933364297</c:v>
                </c:pt>
                <c:pt idx="107">
                  <c:v>92637.886727035104</c:v>
                </c:pt>
                <c:pt idx="108">
                  <c:v>93703.745520705896</c:v>
                </c:pt>
                <c:pt idx="109">
                  <c:v>94769.604314376717</c:v>
                </c:pt>
                <c:pt idx="110">
                  <c:v>95835.463108047523</c:v>
                </c:pt>
                <c:pt idx="111">
                  <c:v>96901.321901718329</c:v>
                </c:pt>
                <c:pt idx="112">
                  <c:v>97967.180695389179</c:v>
                </c:pt>
                <c:pt idx="113">
                  <c:v>99033.039489059942</c:v>
                </c:pt>
                <c:pt idx="114">
                  <c:v>100098.89828273073</c:v>
                </c:pt>
                <c:pt idx="115">
                  <c:v>101164.75707640153</c:v>
                </c:pt>
                <c:pt idx="116">
                  <c:v>102230.61587007235</c:v>
                </c:pt>
                <c:pt idx="117">
                  <c:v>103296.47466374317</c:v>
                </c:pt>
                <c:pt idx="118">
                  <c:v>104362.33345741396</c:v>
                </c:pt>
                <c:pt idx="119">
                  <c:v>105428.19225108478</c:v>
                </c:pt>
                <c:pt idx="120">
                  <c:v>106494.05104475554</c:v>
                </c:pt>
                <c:pt idx="121">
                  <c:v>107559.90983842636</c:v>
                </c:pt>
                <c:pt idx="122">
                  <c:v>108625.76863209717</c:v>
                </c:pt>
                <c:pt idx="123">
                  <c:v>109691.62742576796</c:v>
                </c:pt>
                <c:pt idx="124">
                  <c:v>110757.4862194388</c:v>
                </c:pt>
                <c:pt idx="125">
                  <c:v>111823.34501310957</c:v>
                </c:pt>
                <c:pt idx="126">
                  <c:v>112889.20380678042</c:v>
                </c:pt>
                <c:pt idx="127">
                  <c:v>113955.0626004512</c:v>
                </c:pt>
                <c:pt idx="128">
                  <c:v>115020.92139412199</c:v>
                </c:pt>
                <c:pt idx="129">
                  <c:v>116086.78018779277</c:v>
                </c:pt>
                <c:pt idx="130">
                  <c:v>117152.63898146356</c:v>
                </c:pt>
                <c:pt idx="131">
                  <c:v>118218.49777513443</c:v>
                </c:pt>
                <c:pt idx="132">
                  <c:v>119284.35656880519</c:v>
                </c:pt>
                <c:pt idx="133">
                  <c:v>120350.21536247604</c:v>
                </c:pt>
                <c:pt idx="134">
                  <c:v>121416.07415614683</c:v>
                </c:pt>
                <c:pt idx="135">
                  <c:v>122481.93294981765</c:v>
                </c:pt>
                <c:pt idx="136">
                  <c:v>123547.79174348841</c:v>
                </c:pt>
                <c:pt idx="137">
                  <c:v>124613.65053715926</c:v>
                </c:pt>
                <c:pt idx="138">
                  <c:v>125679.50933083007</c:v>
                </c:pt>
                <c:pt idx="139">
                  <c:v>126745.36812450085</c:v>
                </c:pt>
                <c:pt idx="140">
                  <c:v>127811.22691817165</c:v>
                </c:pt>
                <c:pt idx="141">
                  <c:v>128877.08571184245</c:v>
                </c:pt>
                <c:pt idx="142">
                  <c:v>129942.94450551327</c:v>
                </c:pt>
                <c:pt idx="143">
                  <c:v>131008.80329918407</c:v>
                </c:pt>
                <c:pt idx="144">
                  <c:v>132074.66209285488</c:v>
                </c:pt>
                <c:pt idx="145">
                  <c:v>133140.52088652566</c:v>
                </c:pt>
                <c:pt idx="146">
                  <c:v>134206.37968019649</c:v>
                </c:pt>
                <c:pt idx="147">
                  <c:v>135272.23847386733</c:v>
                </c:pt>
                <c:pt idx="148">
                  <c:v>136338.09726753813</c:v>
                </c:pt>
                <c:pt idx="149">
                  <c:v>137403.95606120888</c:v>
                </c:pt>
                <c:pt idx="150">
                  <c:v>138469.81485487975</c:v>
                </c:pt>
                <c:pt idx="151">
                  <c:v>139535.6736485505</c:v>
                </c:pt>
                <c:pt idx="152">
                  <c:v>140601.5324422213</c:v>
                </c:pt>
                <c:pt idx="153">
                  <c:v>141667.39123589214</c:v>
                </c:pt>
                <c:pt idx="154">
                  <c:v>142733.25002956289</c:v>
                </c:pt>
                <c:pt idx="155">
                  <c:v>143799.10882323369</c:v>
                </c:pt>
                <c:pt idx="156">
                  <c:v>144864.96761690453</c:v>
                </c:pt>
                <c:pt idx="157">
                  <c:v>145930.82641057533</c:v>
                </c:pt>
                <c:pt idx="158">
                  <c:v>146996.68520424614</c:v>
                </c:pt>
                <c:pt idx="159">
                  <c:v>147410.6925772269</c:v>
                </c:pt>
                <c:pt idx="160">
                  <c:v>147590.02546366345</c:v>
                </c:pt>
                <c:pt idx="161">
                  <c:v>147769.35835009988</c:v>
                </c:pt>
                <c:pt idx="162">
                  <c:v>147948.6912365364</c:v>
                </c:pt>
                <c:pt idx="163">
                  <c:v>148128.02412297289</c:v>
                </c:pt>
                <c:pt idx="164">
                  <c:v>148307.3570094094</c:v>
                </c:pt>
                <c:pt idx="165">
                  <c:v>148486.68989584586</c:v>
                </c:pt>
                <c:pt idx="166">
                  <c:v>148666.02278228235</c:v>
                </c:pt>
                <c:pt idx="167">
                  <c:v>148845.35566871881</c:v>
                </c:pt>
                <c:pt idx="168">
                  <c:v>149024.68855515527</c:v>
                </c:pt>
                <c:pt idx="169">
                  <c:v>149204.02144159179</c:v>
                </c:pt>
                <c:pt idx="170">
                  <c:v>149383.35432802828</c:v>
                </c:pt>
                <c:pt idx="171">
                  <c:v>149562.68721446476</c:v>
                </c:pt>
                <c:pt idx="172">
                  <c:v>149723.44749751448</c:v>
                </c:pt>
                <c:pt idx="173">
                  <c:v>149878.04771244631</c:v>
                </c:pt>
                <c:pt idx="174">
                  <c:v>150032.6479273781</c:v>
                </c:pt>
                <c:pt idx="175">
                  <c:v>150187.24814230984</c:v>
                </c:pt>
                <c:pt idx="176">
                  <c:v>150341.84835724166</c:v>
                </c:pt>
                <c:pt idx="177">
                  <c:v>150496.44857217342</c:v>
                </c:pt>
                <c:pt idx="178">
                  <c:v>150651.04878710525</c:v>
                </c:pt>
                <c:pt idx="179">
                  <c:v>150805.64900203707</c:v>
                </c:pt>
                <c:pt idx="180">
                  <c:v>150960.2492169688</c:v>
                </c:pt>
                <c:pt idx="181">
                  <c:v>151114.84943190066</c:v>
                </c:pt>
                <c:pt idx="182">
                  <c:v>151269.44964683245</c:v>
                </c:pt>
                <c:pt idx="183">
                  <c:v>151424.04986176424</c:v>
                </c:pt>
                <c:pt idx="184">
                  <c:v>151578.65007669604</c:v>
                </c:pt>
                <c:pt idx="185">
                  <c:v>151733.2502916278</c:v>
                </c:pt>
                <c:pt idx="186">
                  <c:v>151887.85050655963</c:v>
                </c:pt>
                <c:pt idx="187">
                  <c:v>152042.45072149142</c:v>
                </c:pt>
                <c:pt idx="188">
                  <c:v>152185.71973211507</c:v>
                </c:pt>
                <c:pt idx="189">
                  <c:v>152317.29830172495</c:v>
                </c:pt>
                <c:pt idx="190">
                  <c:v>152448.87687133477</c:v>
                </c:pt>
                <c:pt idx="191">
                  <c:v>152580.45544094461</c:v>
                </c:pt>
                <c:pt idx="192">
                  <c:v>152712.0340105544</c:v>
                </c:pt>
                <c:pt idx="193">
                  <c:v>152843.61258016428</c:v>
                </c:pt>
                <c:pt idx="194">
                  <c:v>152975.19114977409</c:v>
                </c:pt>
                <c:pt idx="195">
                  <c:v>153106.76971938391</c:v>
                </c:pt>
                <c:pt idx="196">
                  <c:v>153238.34828899376</c:v>
                </c:pt>
                <c:pt idx="197">
                  <c:v>153369.92685860355</c:v>
                </c:pt>
                <c:pt idx="198">
                  <c:v>153501.50542821345</c:v>
                </c:pt>
                <c:pt idx="199">
                  <c:v>153633.08399782321</c:v>
                </c:pt>
                <c:pt idx="200">
                  <c:v>153764.66256743306</c:v>
                </c:pt>
                <c:pt idx="201">
                  <c:v>153896.2411370429</c:v>
                </c:pt>
                <c:pt idx="202">
                  <c:v>154027.81970665269</c:v>
                </c:pt>
                <c:pt idx="203">
                  <c:v>154159.39827626254</c:v>
                </c:pt>
                <c:pt idx="204">
                  <c:v>154290.97684587236</c:v>
                </c:pt>
                <c:pt idx="205">
                  <c:v>154422.5554154822</c:v>
                </c:pt>
                <c:pt idx="206">
                  <c:v>154554.13398509202</c:v>
                </c:pt>
                <c:pt idx="207">
                  <c:v>154679.70040933249</c:v>
                </c:pt>
                <c:pt idx="208">
                  <c:v>154789.99610398925</c:v>
                </c:pt>
                <c:pt idx="209">
                  <c:v>154900.29179864598</c:v>
                </c:pt>
                <c:pt idx="210">
                  <c:v>155010.58749330277</c:v>
                </c:pt>
                <c:pt idx="211">
                  <c:v>155120.88318795952</c:v>
                </c:pt>
                <c:pt idx="212">
                  <c:v>155231.17888261634</c:v>
                </c:pt>
                <c:pt idx="213">
                  <c:v>155341.47457727307</c:v>
                </c:pt>
                <c:pt idx="214">
                  <c:v>155451.7702719298</c:v>
                </c:pt>
                <c:pt idx="215">
                  <c:v>155562.06596658658</c:v>
                </c:pt>
                <c:pt idx="216">
                  <c:v>155672.36166124331</c:v>
                </c:pt>
                <c:pt idx="217">
                  <c:v>155782.6573559001</c:v>
                </c:pt>
                <c:pt idx="218">
                  <c:v>155892.95305055685</c:v>
                </c:pt>
                <c:pt idx="219">
                  <c:v>156003.24874521358</c:v>
                </c:pt>
                <c:pt idx="220">
                  <c:v>156113.5444398704</c:v>
                </c:pt>
                <c:pt idx="221">
                  <c:v>156223.84013452716</c:v>
                </c:pt>
                <c:pt idx="222">
                  <c:v>156334.13582918394</c:v>
                </c:pt>
                <c:pt idx="223">
                  <c:v>156444.43152384064</c:v>
                </c:pt>
                <c:pt idx="224">
                  <c:v>156554.7272184974</c:v>
                </c:pt>
                <c:pt idx="225">
                  <c:v>156665.02291315419</c:v>
                </c:pt>
                <c:pt idx="226">
                  <c:v>156775.31860781097</c:v>
                </c:pt>
                <c:pt idx="227">
                  <c:v>156885.6143024677</c:v>
                </c:pt>
                <c:pt idx="228">
                  <c:v>156995.90999712446</c:v>
                </c:pt>
                <c:pt idx="229">
                  <c:v>157106.20569178127</c:v>
                </c:pt>
                <c:pt idx="230">
                  <c:v>157211.88446865394</c:v>
                </c:pt>
              </c:numCache>
            </c:numRef>
          </c:val>
          <c:extLst>
            <c:ext xmlns:c16="http://schemas.microsoft.com/office/drawing/2014/chart" uri="{C3380CC4-5D6E-409C-BE32-E72D297353CC}">
              <c16:uniqueId val="{00000000-59B2-4193-A747-B40A1D0B45B6}"/>
            </c:ext>
          </c:extLst>
        </c:ser>
        <c:ser>
          <c:idx val="4"/>
          <c:order val="5"/>
          <c:tx>
            <c:strRef>
              <c:f>Sheet2!$G$1</c:f>
              <c:strCache>
                <c:ptCount val="1"/>
                <c:pt idx="0">
                  <c:v>PROSPER_REPAYE</c:v>
                </c:pt>
              </c:strCache>
            </c:strRef>
          </c:tx>
          <c:spPr>
            <a:solidFill>
              <a:schemeClr val="bg1">
                <a:lumMod val="85000"/>
              </a:schemeClr>
            </a:solidFill>
            <a:ln>
              <a:noFill/>
            </a:ln>
            <a:effectLst/>
          </c:spPr>
          <c:cat>
            <c:numRef>
              <c:f>Sheet2!$A$2:$A$232</c:f>
              <c:numCache>
                <c:formatCode>"$"#,##0_);[Red]\("$"#,##0\)</c:formatCode>
                <c:ptCount val="23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pt idx="173">
                  <c:v>91500</c:v>
                </c:pt>
                <c:pt idx="174">
                  <c:v>92000</c:v>
                </c:pt>
                <c:pt idx="175">
                  <c:v>92500</c:v>
                </c:pt>
                <c:pt idx="176">
                  <c:v>93000</c:v>
                </c:pt>
                <c:pt idx="177">
                  <c:v>93500</c:v>
                </c:pt>
                <c:pt idx="178">
                  <c:v>94000</c:v>
                </c:pt>
                <c:pt idx="179">
                  <c:v>94500</c:v>
                </c:pt>
                <c:pt idx="180">
                  <c:v>95000</c:v>
                </c:pt>
                <c:pt idx="181">
                  <c:v>95500</c:v>
                </c:pt>
                <c:pt idx="182">
                  <c:v>96000</c:v>
                </c:pt>
                <c:pt idx="183">
                  <c:v>96500</c:v>
                </c:pt>
                <c:pt idx="184">
                  <c:v>97000</c:v>
                </c:pt>
                <c:pt idx="185">
                  <c:v>97500</c:v>
                </c:pt>
                <c:pt idx="186">
                  <c:v>98000</c:v>
                </c:pt>
                <c:pt idx="187">
                  <c:v>98500</c:v>
                </c:pt>
                <c:pt idx="188">
                  <c:v>99000</c:v>
                </c:pt>
                <c:pt idx="189">
                  <c:v>99500</c:v>
                </c:pt>
                <c:pt idx="190">
                  <c:v>100000</c:v>
                </c:pt>
                <c:pt idx="191">
                  <c:v>100500</c:v>
                </c:pt>
                <c:pt idx="192">
                  <c:v>101000</c:v>
                </c:pt>
                <c:pt idx="193">
                  <c:v>101500</c:v>
                </c:pt>
                <c:pt idx="194">
                  <c:v>102000</c:v>
                </c:pt>
                <c:pt idx="195">
                  <c:v>102500</c:v>
                </c:pt>
                <c:pt idx="196">
                  <c:v>103000</c:v>
                </c:pt>
                <c:pt idx="197">
                  <c:v>103500</c:v>
                </c:pt>
                <c:pt idx="198">
                  <c:v>104000</c:v>
                </c:pt>
                <c:pt idx="199">
                  <c:v>104500</c:v>
                </c:pt>
                <c:pt idx="200">
                  <c:v>105000</c:v>
                </c:pt>
                <c:pt idx="201">
                  <c:v>105500</c:v>
                </c:pt>
                <c:pt idx="202">
                  <c:v>106000</c:v>
                </c:pt>
                <c:pt idx="203">
                  <c:v>106500</c:v>
                </c:pt>
                <c:pt idx="204">
                  <c:v>107000</c:v>
                </c:pt>
                <c:pt idx="205">
                  <c:v>107500</c:v>
                </c:pt>
                <c:pt idx="206">
                  <c:v>108000</c:v>
                </c:pt>
                <c:pt idx="207">
                  <c:v>108500</c:v>
                </c:pt>
                <c:pt idx="208">
                  <c:v>109000</c:v>
                </c:pt>
                <c:pt idx="209">
                  <c:v>109500</c:v>
                </c:pt>
                <c:pt idx="210">
                  <c:v>110000</c:v>
                </c:pt>
                <c:pt idx="211">
                  <c:v>110500</c:v>
                </c:pt>
                <c:pt idx="212">
                  <c:v>111000</c:v>
                </c:pt>
                <c:pt idx="213">
                  <c:v>111500</c:v>
                </c:pt>
                <c:pt idx="214">
                  <c:v>112000</c:v>
                </c:pt>
                <c:pt idx="215">
                  <c:v>112500</c:v>
                </c:pt>
                <c:pt idx="216">
                  <c:v>113000</c:v>
                </c:pt>
                <c:pt idx="217">
                  <c:v>113500</c:v>
                </c:pt>
                <c:pt idx="218">
                  <c:v>114000</c:v>
                </c:pt>
                <c:pt idx="219">
                  <c:v>114500</c:v>
                </c:pt>
                <c:pt idx="220">
                  <c:v>115000</c:v>
                </c:pt>
                <c:pt idx="221">
                  <c:v>115500</c:v>
                </c:pt>
                <c:pt idx="222">
                  <c:v>116000</c:v>
                </c:pt>
                <c:pt idx="223">
                  <c:v>116500</c:v>
                </c:pt>
                <c:pt idx="224">
                  <c:v>117000</c:v>
                </c:pt>
                <c:pt idx="225">
                  <c:v>117500</c:v>
                </c:pt>
                <c:pt idx="226">
                  <c:v>118000</c:v>
                </c:pt>
                <c:pt idx="227">
                  <c:v>118500</c:v>
                </c:pt>
                <c:pt idx="228">
                  <c:v>119000</c:v>
                </c:pt>
                <c:pt idx="229">
                  <c:v>119500</c:v>
                </c:pt>
                <c:pt idx="230">
                  <c:v>120000</c:v>
                </c:pt>
              </c:numCache>
            </c:numRef>
          </c:cat>
          <c:val>
            <c:numRef>
              <c:f>Sheet2!$G$2:$G$232</c:f>
              <c:numCache>
                <c:formatCode>"$"#,##0</c:formatCode>
                <c:ptCount val="231"/>
                <c:pt idx="0">
                  <c:v>6934.431592261938</c:v>
                </c:pt>
                <c:pt idx="1">
                  <c:v>6934.431592261938</c:v>
                </c:pt>
                <c:pt idx="2">
                  <c:v>6934.431592261938</c:v>
                </c:pt>
                <c:pt idx="3">
                  <c:v>6934.431592261938</c:v>
                </c:pt>
                <c:pt idx="4">
                  <c:v>6934.431592261938</c:v>
                </c:pt>
                <c:pt idx="5">
                  <c:v>6934.431592261938</c:v>
                </c:pt>
                <c:pt idx="6">
                  <c:v>6934.431592261938</c:v>
                </c:pt>
                <c:pt idx="7">
                  <c:v>6934.431592261938</c:v>
                </c:pt>
                <c:pt idx="8">
                  <c:v>6952.2300236097526</c:v>
                </c:pt>
                <c:pt idx="9">
                  <c:v>7191.0721980932485</c:v>
                </c:pt>
                <c:pt idx="10">
                  <c:v>7701.2334745977087</c:v>
                </c:pt>
                <c:pt idx="11">
                  <c:v>8449.2583345788862</c:v>
                </c:pt>
                <c:pt idx="12">
                  <c:v>9434.0068010108589</c:v>
                </c:pt>
                <c:pt idx="13">
                  <c:v>10628.433010498295</c:v>
                </c:pt>
                <c:pt idx="14">
                  <c:v>12020.39264139113</c:v>
                </c:pt>
                <c:pt idx="15">
                  <c:v>13598.196059592228</c:v>
                </c:pt>
                <c:pt idx="16">
                  <c:v>15264.547929836639</c:v>
                </c:pt>
                <c:pt idx="17">
                  <c:v>16979.408500173537</c:v>
                </c:pt>
                <c:pt idx="18">
                  <c:v>18743.399855028081</c:v>
                </c:pt>
                <c:pt idx="19">
                  <c:v>20557.869021028411</c:v>
                </c:pt>
                <c:pt idx="20">
                  <c:v>22410.771499429429</c:v>
                </c:pt>
                <c:pt idx="21">
                  <c:v>24310.345524305121</c:v>
                </c:pt>
                <c:pt idx="22">
                  <c:v>26242.63677245484</c:v>
                </c:pt>
                <c:pt idx="23">
                  <c:v>28214.745851903161</c:v>
                </c:pt>
                <c:pt idx="24">
                  <c:v>30220.019560449087</c:v>
                </c:pt>
                <c:pt idx="25">
                  <c:v>32263.207477105883</c:v>
                </c:pt>
                <c:pt idx="26">
                  <c:v>34332.430608720104</c:v>
                </c:pt>
                <c:pt idx="27">
                  <c:v>36441.224143708212</c:v>
                </c:pt>
                <c:pt idx="28">
                  <c:v>38641.571428896255</c:v>
                </c:pt>
                <c:pt idx="29">
                  <c:v>40930.644404290142</c:v>
                </c:pt>
                <c:pt idx="30">
                  <c:v>43306.072251486432</c:v>
                </c:pt>
                <c:pt idx="31">
                  <c:v>45765.49953312509</c:v>
                </c:pt>
                <c:pt idx="32">
                  <c:v>48238.033610880375</c:v>
                </c:pt>
                <c:pt idx="33">
                  <c:v>50710.56768863558</c:v>
                </c:pt>
                <c:pt idx="34">
                  <c:v>53183.101766390799</c:v>
                </c:pt>
                <c:pt idx="35">
                  <c:v>55655.635844146076</c:v>
                </c:pt>
                <c:pt idx="36">
                  <c:v>58128.169921901237</c:v>
                </c:pt>
                <c:pt idx="37">
                  <c:v>60600.703999656485</c:v>
                </c:pt>
                <c:pt idx="38">
                  <c:v>63073.238077411719</c:v>
                </c:pt>
                <c:pt idx="39">
                  <c:v>65545.772155166967</c:v>
                </c:pt>
                <c:pt idx="40">
                  <c:v>66099.238329363783</c:v>
                </c:pt>
                <c:pt idx="41">
                  <c:v>66372.2220779364</c:v>
                </c:pt>
                <c:pt idx="42">
                  <c:v>66597.592041833646</c:v>
                </c:pt>
                <c:pt idx="43">
                  <c:v>66791.897848307766</c:v>
                </c:pt>
                <c:pt idx="44">
                  <c:v>66956.190575524844</c:v>
                </c:pt>
                <c:pt idx="45">
                  <c:v>67079.358589760814</c:v>
                </c:pt>
                <c:pt idx="46">
                  <c:v>67183.86497569154</c:v>
                </c:pt>
                <c:pt idx="47">
                  <c:v>67243.538124335741</c:v>
                </c:pt>
                <c:pt idx="48">
                  <c:v>67289.557760346535</c:v>
                </c:pt>
                <c:pt idx="49">
                  <c:v>67293.48775914099</c:v>
                </c:pt>
                <c:pt idx="50">
                  <c:v>67282.329482208297</c:v>
                </c:pt>
                <c:pt idx="51">
                  <c:v>67238.383031950347</c:v>
                </c:pt>
                <c:pt idx="52">
                  <c:v>67171.365488011274</c:v>
                </c:pt>
                <c:pt idx="53">
                  <c:v>67087.530660824064</c:v>
                </c:pt>
                <c:pt idx="54">
                  <c:v>66965.982882277138</c:v>
                </c:pt>
                <c:pt idx="55">
                  <c:v>66844.435103730124</c:v>
                </c:pt>
                <c:pt idx="56">
                  <c:v>66675.637702882683</c:v>
                </c:pt>
                <c:pt idx="57">
                  <c:v>66500.899700690585</c:v>
                </c:pt>
                <c:pt idx="58">
                  <c:v>66309.932316002742</c:v>
                </c:pt>
                <c:pt idx="59">
                  <c:v>66083.355686860916</c:v>
                </c:pt>
                <c:pt idx="60">
                  <c:v>65856.779057719075</c:v>
                </c:pt>
                <c:pt idx="61">
                  <c:v>65601.571587304177</c:v>
                </c:pt>
                <c:pt idx="62">
                  <c:v>65324.520136353087</c:v>
                </c:pt>
                <c:pt idx="63">
                  <c:v>65047.468685402004</c:v>
                </c:pt>
                <c:pt idx="64">
                  <c:v>64739.328753285939</c:v>
                </c:pt>
                <c:pt idx="65">
                  <c:v>64413.17913285931</c:v>
                </c:pt>
                <c:pt idx="66">
                  <c:v>64087.029512432651</c:v>
                </c:pt>
                <c:pt idx="67">
                  <c:v>63737.462311866984</c:v>
                </c:pt>
                <c:pt idx="68">
                  <c:v>63363.604676782001</c:v>
                </c:pt>
                <c:pt idx="69">
                  <c:v>62989.747041697054</c:v>
                </c:pt>
                <c:pt idx="70">
                  <c:v>62610.465722655688</c:v>
                </c:pt>
                <c:pt idx="71">
                  <c:v>62190.304402567432</c:v>
                </c:pt>
                <c:pt idx="72">
                  <c:v>61770.143082479175</c:v>
                </c:pt>
                <c:pt idx="73">
                  <c:v>61349.98176239086</c:v>
                </c:pt>
                <c:pt idx="74">
                  <c:v>60908.033660654895</c:v>
                </c:pt>
                <c:pt idx="75">
                  <c:v>60442.987850010883</c:v>
                </c:pt>
                <c:pt idx="76">
                  <c:v>59977.942039366928</c:v>
                </c:pt>
                <c:pt idx="77">
                  <c:v>59512.896228722879</c:v>
                </c:pt>
                <c:pt idx="78">
                  <c:v>59023.312445469004</c:v>
                </c:pt>
                <c:pt idx="79">
                  <c:v>58514.816911617665</c:v>
                </c:pt>
                <c:pt idx="80">
                  <c:v>58006.321377766319</c:v>
                </c:pt>
                <c:pt idx="81">
                  <c:v>57497.825843915001</c:v>
                </c:pt>
                <c:pt idx="82">
                  <c:v>56975.927539979064</c:v>
                </c:pt>
                <c:pt idx="83">
                  <c:v>56425.433350000108</c:v>
                </c:pt>
                <c:pt idx="84">
                  <c:v>55874.939160021109</c:v>
                </c:pt>
                <c:pt idx="85">
                  <c:v>55324.444970042168</c:v>
                </c:pt>
                <c:pt idx="86">
                  <c:v>54773.950780063198</c:v>
                </c:pt>
                <c:pt idx="87">
                  <c:v>54194.833407000449</c:v>
                </c:pt>
                <c:pt idx="88">
                  <c:v>53603.808673843829</c:v>
                </c:pt>
                <c:pt idx="89">
                  <c:v>53012.783940687325</c:v>
                </c:pt>
                <c:pt idx="90">
                  <c:v>52421.759207530777</c:v>
                </c:pt>
                <c:pt idx="91">
                  <c:v>51830.734474374214</c:v>
                </c:pt>
                <c:pt idx="92">
                  <c:v>51213.315966963768</c:v>
                </c:pt>
                <c:pt idx="93">
                  <c:v>50583.246615500495</c:v>
                </c:pt>
                <c:pt idx="94">
                  <c:v>49953.17726403728</c:v>
                </c:pt>
                <c:pt idx="95">
                  <c:v>49323.107912574051</c:v>
                </c:pt>
                <c:pt idx="96">
                  <c:v>48693.038561110807</c:v>
                </c:pt>
                <c:pt idx="97">
                  <c:v>48056.628495951183</c:v>
                </c:pt>
                <c:pt idx="98">
                  <c:v>47389.019049556315</c:v>
                </c:pt>
                <c:pt idx="99">
                  <c:v>46721.409603161446</c:v>
                </c:pt>
                <c:pt idx="100">
                  <c:v>46053.800156766607</c:v>
                </c:pt>
                <c:pt idx="101">
                  <c:v>45386.190710371709</c:v>
                </c:pt>
                <c:pt idx="102">
                  <c:v>44718.581263976841</c:v>
                </c:pt>
                <c:pt idx="103">
                  <c:v>44046.884198824191</c:v>
                </c:pt>
                <c:pt idx="104">
                  <c:v>43343.258587132426</c:v>
                </c:pt>
                <c:pt idx="105">
                  <c:v>42639.632975440632</c:v>
                </c:pt>
                <c:pt idx="106">
                  <c:v>41936.007363748853</c:v>
                </c:pt>
                <c:pt idx="107">
                  <c:v>41232.381752057059</c:v>
                </c:pt>
                <c:pt idx="108">
                  <c:v>40528.756140365367</c:v>
                </c:pt>
                <c:pt idx="109">
                  <c:v>39825.130528673559</c:v>
                </c:pt>
                <c:pt idx="110">
                  <c:v>39106.914814206655</c:v>
                </c:pt>
                <c:pt idx="111">
                  <c:v>38368.817202698614</c:v>
                </c:pt>
                <c:pt idx="112">
                  <c:v>37630.719591190587</c:v>
                </c:pt>
                <c:pt idx="113">
                  <c:v>36892.621979682619</c:v>
                </c:pt>
                <c:pt idx="114">
                  <c:v>36154.524368174592</c:v>
                </c:pt>
                <c:pt idx="115">
                  <c:v>35416.426756666595</c:v>
                </c:pt>
                <c:pt idx="116">
                  <c:v>34678.329145158539</c:v>
                </c:pt>
                <c:pt idx="117">
                  <c:v>33940.231533650513</c:v>
                </c:pt>
                <c:pt idx="118">
                  <c:v>33169.47665986004</c:v>
                </c:pt>
                <c:pt idx="119">
                  <c:v>32398.472301957401</c:v>
                </c:pt>
                <c:pt idx="120">
                  <c:v>31627.467944054792</c:v>
                </c:pt>
                <c:pt idx="121">
                  <c:v>30856.463586152153</c:v>
                </c:pt>
                <c:pt idx="122">
                  <c:v>30085.459228249529</c:v>
                </c:pt>
                <c:pt idx="123">
                  <c:v>29314.454870346861</c:v>
                </c:pt>
                <c:pt idx="124">
                  <c:v>28543.450512444208</c:v>
                </c:pt>
                <c:pt idx="125">
                  <c:v>27772.446154541583</c:v>
                </c:pt>
                <c:pt idx="126">
                  <c:v>26979.819072705257</c:v>
                </c:pt>
                <c:pt idx="127">
                  <c:v>26177.495185072505</c:v>
                </c:pt>
                <c:pt idx="128">
                  <c:v>25375.171297439767</c:v>
                </c:pt>
                <c:pt idx="129">
                  <c:v>24572.847409807044</c:v>
                </c:pt>
                <c:pt idx="130">
                  <c:v>23770.523522174306</c:v>
                </c:pt>
                <c:pt idx="131">
                  <c:v>22968.199634541466</c:v>
                </c:pt>
                <c:pt idx="132">
                  <c:v>22165.875746908787</c:v>
                </c:pt>
                <c:pt idx="133">
                  <c:v>21363.551859275962</c:v>
                </c:pt>
                <c:pt idx="134">
                  <c:v>20561.227971643195</c:v>
                </c:pt>
                <c:pt idx="135">
                  <c:v>19748.390498523688</c:v>
                </c:pt>
                <c:pt idx="136">
                  <c:v>18916.357160295927</c:v>
                </c:pt>
                <c:pt idx="137">
                  <c:v>18084.323822068051</c:v>
                </c:pt>
                <c:pt idx="138">
                  <c:v>17252.290483840217</c:v>
                </c:pt>
                <c:pt idx="139">
                  <c:v>16420.257145612384</c:v>
                </c:pt>
                <c:pt idx="140">
                  <c:v>15588.223807384551</c:v>
                </c:pt>
                <c:pt idx="141">
                  <c:v>14756.190469156732</c:v>
                </c:pt>
                <c:pt idx="142">
                  <c:v>13924.157130928914</c:v>
                </c:pt>
                <c:pt idx="143">
                  <c:v>13092.123792701081</c:v>
                </c:pt>
                <c:pt idx="144">
                  <c:v>12260.090454473218</c:v>
                </c:pt>
                <c:pt idx="145">
                  <c:v>11428.057116245443</c:v>
                </c:pt>
                <c:pt idx="146">
                  <c:v>10574.235529732017</c:v>
                </c:pt>
                <c:pt idx="147">
                  <c:v>9714.1266064083611</c:v>
                </c:pt>
                <c:pt idx="148">
                  <c:v>8854.0176830846758</c:v>
                </c:pt>
                <c:pt idx="149">
                  <c:v>7993.9087597610196</c:v>
                </c:pt>
                <c:pt idx="150">
                  <c:v>7133.7998364373052</c:v>
                </c:pt>
                <c:pt idx="151">
                  <c:v>6273.6909131136781</c:v>
                </c:pt>
                <c:pt idx="152">
                  <c:v>5413.5819897900219</c:v>
                </c:pt>
                <c:pt idx="153">
                  <c:v>4553.4730664662784</c:v>
                </c:pt>
                <c:pt idx="154">
                  <c:v>3693.3641431427386</c:v>
                </c:pt>
                <c:pt idx="155">
                  <c:v>2833.2552198190242</c:v>
                </c:pt>
                <c:pt idx="156">
                  <c:v>1973.1462964953389</c:v>
                </c:pt>
                <c:pt idx="157">
                  <c:v>1113.0373731717118</c:v>
                </c:pt>
                <c:pt idx="158">
                  <c:v>234.67448654433247</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numCache>
            </c:numRef>
          </c:val>
          <c:extLst>
            <c:ext xmlns:c16="http://schemas.microsoft.com/office/drawing/2014/chart" uri="{C3380CC4-5D6E-409C-BE32-E72D297353CC}">
              <c16:uniqueId val="{00000001-59B2-4193-A747-B40A1D0B45B6}"/>
            </c:ext>
          </c:extLst>
        </c:ser>
        <c:ser>
          <c:idx val="6"/>
          <c:order val="6"/>
          <c:tx>
            <c:strRef>
              <c:f>Sheet2!$H$1</c:f>
              <c:strCache>
                <c:ptCount val="1"/>
                <c:pt idx="0">
                  <c:v>PROSPER_Standard</c:v>
                </c:pt>
              </c:strCache>
            </c:strRef>
          </c:tx>
          <c:spPr>
            <a:solidFill>
              <a:schemeClr val="bg1">
                <a:lumMod val="50000"/>
              </a:schemeClr>
            </a:solidFill>
            <a:ln>
              <a:noFill/>
            </a:ln>
            <a:effectLst/>
          </c:spPr>
          <c:cat>
            <c:numRef>
              <c:f>Sheet2!$A$2:$A$232</c:f>
              <c:numCache>
                <c:formatCode>"$"#,##0_);[Red]\("$"#,##0\)</c:formatCode>
                <c:ptCount val="23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pt idx="173">
                  <c:v>91500</c:v>
                </c:pt>
                <c:pt idx="174">
                  <c:v>92000</c:v>
                </c:pt>
                <c:pt idx="175">
                  <c:v>92500</c:v>
                </c:pt>
                <c:pt idx="176">
                  <c:v>93000</c:v>
                </c:pt>
                <c:pt idx="177">
                  <c:v>93500</c:v>
                </c:pt>
                <c:pt idx="178">
                  <c:v>94000</c:v>
                </c:pt>
                <c:pt idx="179">
                  <c:v>94500</c:v>
                </c:pt>
                <c:pt idx="180">
                  <c:v>95000</c:v>
                </c:pt>
                <c:pt idx="181">
                  <c:v>95500</c:v>
                </c:pt>
                <c:pt idx="182">
                  <c:v>96000</c:v>
                </c:pt>
                <c:pt idx="183">
                  <c:v>96500</c:v>
                </c:pt>
                <c:pt idx="184">
                  <c:v>97000</c:v>
                </c:pt>
                <c:pt idx="185">
                  <c:v>97500</c:v>
                </c:pt>
                <c:pt idx="186">
                  <c:v>98000</c:v>
                </c:pt>
                <c:pt idx="187">
                  <c:v>98500</c:v>
                </c:pt>
                <c:pt idx="188">
                  <c:v>99000</c:v>
                </c:pt>
                <c:pt idx="189">
                  <c:v>99500</c:v>
                </c:pt>
                <c:pt idx="190">
                  <c:v>100000</c:v>
                </c:pt>
                <c:pt idx="191">
                  <c:v>100500</c:v>
                </c:pt>
                <c:pt idx="192">
                  <c:v>101000</c:v>
                </c:pt>
                <c:pt idx="193">
                  <c:v>101500</c:v>
                </c:pt>
                <c:pt idx="194">
                  <c:v>102000</c:v>
                </c:pt>
                <c:pt idx="195">
                  <c:v>102500</c:v>
                </c:pt>
                <c:pt idx="196">
                  <c:v>103000</c:v>
                </c:pt>
                <c:pt idx="197">
                  <c:v>103500</c:v>
                </c:pt>
                <c:pt idx="198">
                  <c:v>104000</c:v>
                </c:pt>
                <c:pt idx="199">
                  <c:v>104500</c:v>
                </c:pt>
                <c:pt idx="200">
                  <c:v>105000</c:v>
                </c:pt>
                <c:pt idx="201">
                  <c:v>105500</c:v>
                </c:pt>
                <c:pt idx="202">
                  <c:v>106000</c:v>
                </c:pt>
                <c:pt idx="203">
                  <c:v>106500</c:v>
                </c:pt>
                <c:pt idx="204">
                  <c:v>107000</c:v>
                </c:pt>
                <c:pt idx="205">
                  <c:v>107500</c:v>
                </c:pt>
                <c:pt idx="206">
                  <c:v>108000</c:v>
                </c:pt>
                <c:pt idx="207">
                  <c:v>108500</c:v>
                </c:pt>
                <c:pt idx="208">
                  <c:v>109000</c:v>
                </c:pt>
                <c:pt idx="209">
                  <c:v>109500</c:v>
                </c:pt>
                <c:pt idx="210">
                  <c:v>110000</c:v>
                </c:pt>
                <c:pt idx="211">
                  <c:v>110500</c:v>
                </c:pt>
                <c:pt idx="212">
                  <c:v>111000</c:v>
                </c:pt>
                <c:pt idx="213">
                  <c:v>111500</c:v>
                </c:pt>
                <c:pt idx="214">
                  <c:v>112000</c:v>
                </c:pt>
                <c:pt idx="215">
                  <c:v>112500</c:v>
                </c:pt>
                <c:pt idx="216">
                  <c:v>113000</c:v>
                </c:pt>
                <c:pt idx="217">
                  <c:v>113500</c:v>
                </c:pt>
                <c:pt idx="218">
                  <c:v>114000</c:v>
                </c:pt>
                <c:pt idx="219">
                  <c:v>114500</c:v>
                </c:pt>
                <c:pt idx="220">
                  <c:v>115000</c:v>
                </c:pt>
                <c:pt idx="221">
                  <c:v>115500</c:v>
                </c:pt>
                <c:pt idx="222">
                  <c:v>116000</c:v>
                </c:pt>
                <c:pt idx="223">
                  <c:v>116500</c:v>
                </c:pt>
                <c:pt idx="224">
                  <c:v>117000</c:v>
                </c:pt>
                <c:pt idx="225">
                  <c:v>117500</c:v>
                </c:pt>
                <c:pt idx="226">
                  <c:v>118000</c:v>
                </c:pt>
                <c:pt idx="227">
                  <c:v>118500</c:v>
                </c:pt>
                <c:pt idx="228">
                  <c:v>119000</c:v>
                </c:pt>
                <c:pt idx="229">
                  <c:v>119500</c:v>
                </c:pt>
                <c:pt idx="230">
                  <c:v>120000</c:v>
                </c:pt>
              </c:numCache>
            </c:numRef>
          </c:cat>
          <c:val>
            <c:numRef>
              <c:f>Sheet2!$H$2:$H$232</c:f>
              <c:numCache>
                <c:formatCode>"$"#,##0</c:formatCode>
                <c:ptCount val="2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651.85142069001449</c:v>
                </c:pt>
                <c:pt idx="160">
                  <c:v>1538.3773279243032</c:v>
                </c:pt>
                <c:pt idx="161">
                  <c:v>2424.9032351586502</c:v>
                </c:pt>
                <c:pt idx="162">
                  <c:v>3311.4291423929681</c:v>
                </c:pt>
                <c:pt idx="163">
                  <c:v>4197.955049627315</c:v>
                </c:pt>
                <c:pt idx="164">
                  <c:v>5084.4809568615747</c:v>
                </c:pt>
                <c:pt idx="165">
                  <c:v>5971.0068640959216</c:v>
                </c:pt>
                <c:pt idx="166">
                  <c:v>6857.5327713302104</c:v>
                </c:pt>
                <c:pt idx="167">
                  <c:v>7744.0586785645573</c:v>
                </c:pt>
                <c:pt idx="168">
                  <c:v>8630.5845857989043</c:v>
                </c:pt>
                <c:pt idx="169">
                  <c:v>9517.1104930331639</c:v>
                </c:pt>
                <c:pt idx="170">
                  <c:v>9436.0825855897856</c:v>
                </c:pt>
                <c:pt idx="171">
                  <c:v>9256.7496991532971</c:v>
                </c:pt>
                <c:pt idx="172">
                  <c:v>9095.9894161035772</c:v>
                </c:pt>
                <c:pt idx="173">
                  <c:v>8941.3892011717544</c:v>
                </c:pt>
                <c:pt idx="174">
                  <c:v>8786.7889862399606</c:v>
                </c:pt>
                <c:pt idx="175">
                  <c:v>8632.1887713082251</c:v>
                </c:pt>
                <c:pt idx="176">
                  <c:v>8477.5885563764023</c:v>
                </c:pt>
                <c:pt idx="177">
                  <c:v>8322.9883414446376</c:v>
                </c:pt>
                <c:pt idx="178">
                  <c:v>8168.3881265128148</c:v>
                </c:pt>
                <c:pt idx="179">
                  <c:v>8013.7879115809919</c:v>
                </c:pt>
                <c:pt idx="180">
                  <c:v>7859.1876966492564</c:v>
                </c:pt>
                <c:pt idx="181">
                  <c:v>7704.5874817174044</c:v>
                </c:pt>
                <c:pt idx="182">
                  <c:v>7549.9872667856107</c:v>
                </c:pt>
                <c:pt idx="183">
                  <c:v>7395.387051853817</c:v>
                </c:pt>
                <c:pt idx="184">
                  <c:v>7240.7868369220232</c:v>
                </c:pt>
                <c:pt idx="185">
                  <c:v>7086.1866219902586</c:v>
                </c:pt>
                <c:pt idx="186">
                  <c:v>6931.5864070584357</c:v>
                </c:pt>
                <c:pt idx="187">
                  <c:v>6776.986192126642</c:v>
                </c:pt>
                <c:pt idx="188">
                  <c:v>6633.7171815029869</c:v>
                </c:pt>
                <c:pt idx="189">
                  <c:v>6502.1386118931114</c:v>
                </c:pt>
                <c:pt idx="190">
                  <c:v>6370.560042283294</c:v>
                </c:pt>
                <c:pt idx="191">
                  <c:v>6238.9814726734476</c:v>
                </c:pt>
                <c:pt idx="192">
                  <c:v>6107.4029030636593</c:v>
                </c:pt>
                <c:pt idx="193">
                  <c:v>5975.8243334537838</c:v>
                </c:pt>
                <c:pt idx="194">
                  <c:v>5844.2457638439664</c:v>
                </c:pt>
                <c:pt idx="195">
                  <c:v>5712.6671942341491</c:v>
                </c:pt>
                <c:pt idx="196">
                  <c:v>5581.0886246243026</c:v>
                </c:pt>
                <c:pt idx="197">
                  <c:v>5449.5100550145144</c:v>
                </c:pt>
                <c:pt idx="198">
                  <c:v>5317.9314854046097</c:v>
                </c:pt>
                <c:pt idx="199">
                  <c:v>5186.3529157948506</c:v>
                </c:pt>
                <c:pt idx="200">
                  <c:v>5054.7743461850041</c:v>
                </c:pt>
                <c:pt idx="201">
                  <c:v>4923.1957765751577</c:v>
                </c:pt>
                <c:pt idx="202">
                  <c:v>4791.6172069653694</c:v>
                </c:pt>
                <c:pt idx="203">
                  <c:v>4660.038637355523</c:v>
                </c:pt>
                <c:pt idx="204">
                  <c:v>4528.4600677457056</c:v>
                </c:pt>
                <c:pt idx="205">
                  <c:v>4396.8814981358591</c:v>
                </c:pt>
                <c:pt idx="206">
                  <c:v>4265.3029285260418</c:v>
                </c:pt>
                <c:pt idx="207">
                  <c:v>4139.7365042855672</c:v>
                </c:pt>
                <c:pt idx="208">
                  <c:v>4029.4408096288098</c:v>
                </c:pt>
                <c:pt idx="209">
                  <c:v>3919.1451149720815</c:v>
                </c:pt>
                <c:pt idx="210">
                  <c:v>3808.849420315295</c:v>
                </c:pt>
                <c:pt idx="211">
                  <c:v>3698.5537256585376</c:v>
                </c:pt>
                <c:pt idx="212">
                  <c:v>3588.258031001722</c:v>
                </c:pt>
                <c:pt idx="213">
                  <c:v>3477.9623363449937</c:v>
                </c:pt>
                <c:pt idx="214">
                  <c:v>3367.6666416882654</c:v>
                </c:pt>
                <c:pt idx="215">
                  <c:v>3257.3709470314789</c:v>
                </c:pt>
                <c:pt idx="216">
                  <c:v>3147.0752523747506</c:v>
                </c:pt>
                <c:pt idx="217">
                  <c:v>3036.7795577179641</c:v>
                </c:pt>
                <c:pt idx="218">
                  <c:v>2926.4838630612066</c:v>
                </c:pt>
                <c:pt idx="219">
                  <c:v>2816.1881684044783</c:v>
                </c:pt>
                <c:pt idx="220">
                  <c:v>2705.8924737476627</c:v>
                </c:pt>
                <c:pt idx="221">
                  <c:v>2595.5967790909053</c:v>
                </c:pt>
                <c:pt idx="222">
                  <c:v>2485.3010844341188</c:v>
                </c:pt>
                <c:pt idx="223">
                  <c:v>2375.0053897774196</c:v>
                </c:pt>
                <c:pt idx="224">
                  <c:v>2264.7096951206622</c:v>
                </c:pt>
                <c:pt idx="225">
                  <c:v>2154.4140004638757</c:v>
                </c:pt>
                <c:pt idx="226">
                  <c:v>2044.1183058070892</c:v>
                </c:pt>
                <c:pt idx="227">
                  <c:v>1933.8226111503609</c:v>
                </c:pt>
                <c:pt idx="228">
                  <c:v>1823.5269164936035</c:v>
                </c:pt>
                <c:pt idx="229">
                  <c:v>1713.2312218367879</c:v>
                </c:pt>
                <c:pt idx="230">
                  <c:v>1607.5524449641234</c:v>
                </c:pt>
              </c:numCache>
            </c:numRef>
          </c:val>
          <c:extLst>
            <c:ext xmlns:c16="http://schemas.microsoft.com/office/drawing/2014/chart" uri="{C3380CC4-5D6E-409C-BE32-E72D297353CC}">
              <c16:uniqueId val="{00000006-59B2-4193-A747-B40A1D0B45B6}"/>
            </c:ext>
          </c:extLst>
        </c:ser>
        <c:dLbls>
          <c:showLegendKey val="0"/>
          <c:showVal val="0"/>
          <c:showCatName val="0"/>
          <c:showSerName val="0"/>
          <c:showPercent val="0"/>
          <c:showBubbleSize val="0"/>
        </c:dLbls>
        <c:axId val="358656256"/>
        <c:axId val="355482656"/>
      </c:areaChart>
      <c:lineChart>
        <c:grouping val="standard"/>
        <c:varyColors val="0"/>
        <c:ser>
          <c:idx val="1"/>
          <c:order val="0"/>
          <c:tx>
            <c:strRef>
              <c:f>Sheet2!$B$1</c:f>
              <c:strCache>
                <c:ptCount val="1"/>
                <c:pt idx="0">
                  <c:v>PAYE (20 Years)</c:v>
                </c:pt>
              </c:strCache>
            </c:strRef>
          </c:tx>
          <c:spPr>
            <a:ln w="25400" cap="rnd">
              <a:solidFill>
                <a:srgbClr val="FDBF11"/>
              </a:solidFill>
              <a:round/>
            </a:ln>
            <a:effectLst/>
          </c:spPr>
          <c:marker>
            <c:symbol val="none"/>
          </c:marker>
          <c:cat>
            <c:numRef>
              <c:f>Sheet2!$A$2:$A$232</c:f>
              <c:numCache>
                <c:formatCode>"$"#,##0_);[Red]\("$"#,##0\)</c:formatCode>
                <c:ptCount val="23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pt idx="173">
                  <c:v>91500</c:v>
                </c:pt>
                <c:pt idx="174">
                  <c:v>92000</c:v>
                </c:pt>
                <c:pt idx="175">
                  <c:v>92500</c:v>
                </c:pt>
                <c:pt idx="176">
                  <c:v>93000</c:v>
                </c:pt>
                <c:pt idx="177">
                  <c:v>93500</c:v>
                </c:pt>
                <c:pt idx="178">
                  <c:v>94000</c:v>
                </c:pt>
                <c:pt idx="179">
                  <c:v>94500</c:v>
                </c:pt>
                <c:pt idx="180">
                  <c:v>95000</c:v>
                </c:pt>
                <c:pt idx="181">
                  <c:v>95500</c:v>
                </c:pt>
                <c:pt idx="182">
                  <c:v>96000</c:v>
                </c:pt>
                <c:pt idx="183">
                  <c:v>96500</c:v>
                </c:pt>
                <c:pt idx="184">
                  <c:v>97000</c:v>
                </c:pt>
                <c:pt idx="185">
                  <c:v>97500</c:v>
                </c:pt>
                <c:pt idx="186">
                  <c:v>98000</c:v>
                </c:pt>
                <c:pt idx="187">
                  <c:v>98500</c:v>
                </c:pt>
                <c:pt idx="188">
                  <c:v>99000</c:v>
                </c:pt>
                <c:pt idx="189">
                  <c:v>99500</c:v>
                </c:pt>
                <c:pt idx="190">
                  <c:v>100000</c:v>
                </c:pt>
                <c:pt idx="191">
                  <c:v>100500</c:v>
                </c:pt>
                <c:pt idx="192">
                  <c:v>101000</c:v>
                </c:pt>
                <c:pt idx="193">
                  <c:v>101500</c:v>
                </c:pt>
                <c:pt idx="194">
                  <c:v>102000</c:v>
                </c:pt>
                <c:pt idx="195">
                  <c:v>102500</c:v>
                </c:pt>
                <c:pt idx="196">
                  <c:v>103000</c:v>
                </c:pt>
                <c:pt idx="197">
                  <c:v>103500</c:v>
                </c:pt>
                <c:pt idx="198">
                  <c:v>104000</c:v>
                </c:pt>
                <c:pt idx="199">
                  <c:v>104500</c:v>
                </c:pt>
                <c:pt idx="200">
                  <c:v>105000</c:v>
                </c:pt>
                <c:pt idx="201">
                  <c:v>105500</c:v>
                </c:pt>
                <c:pt idx="202">
                  <c:v>106000</c:v>
                </c:pt>
                <c:pt idx="203">
                  <c:v>106500</c:v>
                </c:pt>
                <c:pt idx="204">
                  <c:v>107000</c:v>
                </c:pt>
                <c:pt idx="205">
                  <c:v>107500</c:v>
                </c:pt>
                <c:pt idx="206">
                  <c:v>108000</c:v>
                </c:pt>
                <c:pt idx="207">
                  <c:v>108500</c:v>
                </c:pt>
                <c:pt idx="208">
                  <c:v>109000</c:v>
                </c:pt>
                <c:pt idx="209">
                  <c:v>109500</c:v>
                </c:pt>
                <c:pt idx="210">
                  <c:v>110000</c:v>
                </c:pt>
                <c:pt idx="211">
                  <c:v>110500</c:v>
                </c:pt>
                <c:pt idx="212">
                  <c:v>111000</c:v>
                </c:pt>
                <c:pt idx="213">
                  <c:v>111500</c:v>
                </c:pt>
                <c:pt idx="214">
                  <c:v>112000</c:v>
                </c:pt>
                <c:pt idx="215">
                  <c:v>112500</c:v>
                </c:pt>
                <c:pt idx="216">
                  <c:v>113000</c:v>
                </c:pt>
                <c:pt idx="217">
                  <c:v>113500</c:v>
                </c:pt>
                <c:pt idx="218">
                  <c:v>114000</c:v>
                </c:pt>
                <c:pt idx="219">
                  <c:v>114500</c:v>
                </c:pt>
                <c:pt idx="220">
                  <c:v>115000</c:v>
                </c:pt>
                <c:pt idx="221">
                  <c:v>115500</c:v>
                </c:pt>
                <c:pt idx="222">
                  <c:v>116000</c:v>
                </c:pt>
                <c:pt idx="223">
                  <c:v>116500</c:v>
                </c:pt>
                <c:pt idx="224">
                  <c:v>117000</c:v>
                </c:pt>
                <c:pt idx="225">
                  <c:v>117500</c:v>
                </c:pt>
                <c:pt idx="226">
                  <c:v>118000</c:v>
                </c:pt>
                <c:pt idx="227">
                  <c:v>118500</c:v>
                </c:pt>
                <c:pt idx="228">
                  <c:v>119000</c:v>
                </c:pt>
                <c:pt idx="229">
                  <c:v>119500</c:v>
                </c:pt>
                <c:pt idx="230">
                  <c:v>120000</c:v>
                </c:pt>
              </c:numCache>
            </c:numRef>
          </c:cat>
          <c:val>
            <c:numRef>
              <c:f>Sheet2!$B$2:$B$232</c:f>
              <c:numCache>
                <c:formatCode>"$"#,##0</c:formatCode>
                <c:ptCount val="2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85.760191889706704</c:v>
                </c:pt>
                <c:pt idx="17">
                  <c:v>285.92954313485075</c:v>
                </c:pt>
                <c:pt idx="18">
                  <c:v>593.89475749614212</c:v>
                </c:pt>
                <c:pt idx="19">
                  <c:v>1003.1665887980402</c:v>
                </c:pt>
                <c:pt idx="20">
                  <c:v>1507.3757972168971</c:v>
                </c:pt>
                <c:pt idx="21">
                  <c:v>2100.2691810652213</c:v>
                </c:pt>
                <c:pt idx="22">
                  <c:v>2786.0460812948072</c:v>
                </c:pt>
                <c:pt idx="23">
                  <c:v>3551.6789364242363</c:v>
                </c:pt>
                <c:pt idx="24">
                  <c:v>4396.4904629984067</c:v>
                </c:pt>
                <c:pt idx="25">
                  <c:v>5318.4817644191808</c:v>
                </c:pt>
                <c:pt idx="26">
                  <c:v>6312.062303777614</c:v>
                </c:pt>
                <c:pt idx="27">
                  <c:v>7369.1832333707553</c:v>
                </c:pt>
                <c:pt idx="28">
                  <c:v>8435.042027041558</c:v>
                </c:pt>
                <c:pt idx="29">
                  <c:v>9500.9008207123643</c:v>
                </c:pt>
                <c:pt idx="30">
                  <c:v>10566.759614383174</c:v>
                </c:pt>
                <c:pt idx="31">
                  <c:v>11632.618408053962</c:v>
                </c:pt>
                <c:pt idx="32">
                  <c:v>12698.477201724781</c:v>
                </c:pt>
                <c:pt idx="33">
                  <c:v>13764.335995395577</c:v>
                </c:pt>
                <c:pt idx="34">
                  <c:v>14830.194789066376</c:v>
                </c:pt>
                <c:pt idx="35">
                  <c:v>15896.053582737197</c:v>
                </c:pt>
                <c:pt idx="36">
                  <c:v>16961.912376407985</c:v>
                </c:pt>
                <c:pt idx="37">
                  <c:v>18027.771170078806</c:v>
                </c:pt>
                <c:pt idx="38">
                  <c:v>19093.629963749609</c:v>
                </c:pt>
                <c:pt idx="39">
                  <c:v>20159.488757420415</c:v>
                </c:pt>
                <c:pt idx="40">
                  <c:v>21225.347551091218</c:v>
                </c:pt>
                <c:pt idx="41">
                  <c:v>22291.206344762009</c:v>
                </c:pt>
                <c:pt idx="42">
                  <c:v>23357.06513843283</c:v>
                </c:pt>
                <c:pt idx="43">
                  <c:v>24422.923932103622</c:v>
                </c:pt>
                <c:pt idx="44">
                  <c:v>25488.782725774421</c:v>
                </c:pt>
                <c:pt idx="45">
                  <c:v>26554.641519445231</c:v>
                </c:pt>
                <c:pt idx="46">
                  <c:v>27620.50031311603</c:v>
                </c:pt>
                <c:pt idx="47">
                  <c:v>28686.359106786855</c:v>
                </c:pt>
                <c:pt idx="48">
                  <c:v>29752.217900457639</c:v>
                </c:pt>
                <c:pt idx="49">
                  <c:v>30818.076694128446</c:v>
                </c:pt>
                <c:pt idx="50">
                  <c:v>31883.935487799255</c:v>
                </c:pt>
                <c:pt idx="51">
                  <c:v>32949.79428147008</c:v>
                </c:pt>
                <c:pt idx="52">
                  <c:v>34015.653075140872</c:v>
                </c:pt>
                <c:pt idx="53">
                  <c:v>35081.511868811671</c:v>
                </c:pt>
                <c:pt idx="54">
                  <c:v>36147.37066248247</c:v>
                </c:pt>
                <c:pt idx="55">
                  <c:v>37213.229456153269</c:v>
                </c:pt>
                <c:pt idx="56">
                  <c:v>38279.088249824083</c:v>
                </c:pt>
                <c:pt idx="57">
                  <c:v>39344.947043494889</c:v>
                </c:pt>
                <c:pt idx="58">
                  <c:v>40410.80583716571</c:v>
                </c:pt>
                <c:pt idx="59">
                  <c:v>41476.664630836502</c:v>
                </c:pt>
                <c:pt idx="60">
                  <c:v>42542.523424507286</c:v>
                </c:pt>
                <c:pt idx="61">
                  <c:v>43608.382218178107</c:v>
                </c:pt>
                <c:pt idx="62">
                  <c:v>44674.241011848913</c:v>
                </c:pt>
                <c:pt idx="63">
                  <c:v>45740.09980551972</c:v>
                </c:pt>
                <c:pt idx="64">
                  <c:v>46805.958599190519</c:v>
                </c:pt>
                <c:pt idx="65">
                  <c:v>47871.817392861325</c:v>
                </c:pt>
                <c:pt idx="66">
                  <c:v>48937.676186532131</c:v>
                </c:pt>
                <c:pt idx="67">
                  <c:v>50003.534980202923</c:v>
                </c:pt>
                <c:pt idx="68">
                  <c:v>51069.393773873737</c:v>
                </c:pt>
                <c:pt idx="69">
                  <c:v>52135.252567544543</c:v>
                </c:pt>
                <c:pt idx="70">
                  <c:v>53201.111361215342</c:v>
                </c:pt>
                <c:pt idx="71">
                  <c:v>54266.970154886149</c:v>
                </c:pt>
                <c:pt idx="72">
                  <c:v>55332.82894855694</c:v>
                </c:pt>
                <c:pt idx="73">
                  <c:v>56398.687742227747</c:v>
                </c:pt>
                <c:pt idx="74">
                  <c:v>57464.546535898568</c:v>
                </c:pt>
                <c:pt idx="75">
                  <c:v>58530.405329569381</c:v>
                </c:pt>
                <c:pt idx="76">
                  <c:v>59596.264123240166</c:v>
                </c:pt>
                <c:pt idx="77">
                  <c:v>60662.122916910987</c:v>
                </c:pt>
                <c:pt idx="78">
                  <c:v>61727.981710581756</c:v>
                </c:pt>
                <c:pt idx="79">
                  <c:v>62793.840504252592</c:v>
                </c:pt>
                <c:pt idx="80">
                  <c:v>63859.699297923391</c:v>
                </c:pt>
                <c:pt idx="81">
                  <c:v>64925.558091594205</c:v>
                </c:pt>
                <c:pt idx="82">
                  <c:v>65991.416885264975</c:v>
                </c:pt>
                <c:pt idx="83">
                  <c:v>67057.27567893581</c:v>
                </c:pt>
                <c:pt idx="84">
                  <c:v>68123.134472606616</c:v>
                </c:pt>
                <c:pt idx="85">
                  <c:v>69188.993266277394</c:v>
                </c:pt>
                <c:pt idx="86">
                  <c:v>70254.852059948214</c:v>
                </c:pt>
                <c:pt idx="87">
                  <c:v>71320.710853619006</c:v>
                </c:pt>
                <c:pt idx="88">
                  <c:v>72386.569647289856</c:v>
                </c:pt>
                <c:pt idx="89">
                  <c:v>73452.428440960633</c:v>
                </c:pt>
                <c:pt idx="90">
                  <c:v>74518.287234631454</c:v>
                </c:pt>
                <c:pt idx="91">
                  <c:v>75584.146028302261</c:v>
                </c:pt>
                <c:pt idx="92">
                  <c:v>76650.004821973038</c:v>
                </c:pt>
                <c:pt idx="93">
                  <c:v>77715.863615643873</c:v>
                </c:pt>
                <c:pt idx="94">
                  <c:v>78781.722409314665</c:v>
                </c:pt>
                <c:pt idx="95">
                  <c:v>79847.581202985442</c:v>
                </c:pt>
                <c:pt idx="96">
                  <c:v>80913.439996656263</c:v>
                </c:pt>
                <c:pt idx="97">
                  <c:v>81979.29879032707</c:v>
                </c:pt>
                <c:pt idx="98">
                  <c:v>83045.157583997847</c:v>
                </c:pt>
                <c:pt idx="99">
                  <c:v>84111.016377668682</c:v>
                </c:pt>
                <c:pt idx="100">
                  <c:v>85176.875171339459</c:v>
                </c:pt>
                <c:pt idx="101">
                  <c:v>86242.733965010324</c:v>
                </c:pt>
                <c:pt idx="102">
                  <c:v>87308.592758681072</c:v>
                </c:pt>
                <c:pt idx="103">
                  <c:v>88374.451552351893</c:v>
                </c:pt>
                <c:pt idx="104">
                  <c:v>89440.310346022699</c:v>
                </c:pt>
                <c:pt idx="105">
                  <c:v>90506.169139693506</c:v>
                </c:pt>
                <c:pt idx="106">
                  <c:v>91572.027933364297</c:v>
                </c:pt>
                <c:pt idx="107">
                  <c:v>92637.886727035104</c:v>
                </c:pt>
                <c:pt idx="108">
                  <c:v>93703.745520705896</c:v>
                </c:pt>
                <c:pt idx="109">
                  <c:v>94769.604314376717</c:v>
                </c:pt>
                <c:pt idx="110">
                  <c:v>95835.463108047523</c:v>
                </c:pt>
                <c:pt idx="111">
                  <c:v>96901.321901718329</c:v>
                </c:pt>
                <c:pt idx="112">
                  <c:v>97967.180695389179</c:v>
                </c:pt>
                <c:pt idx="113">
                  <c:v>99033.039489059942</c:v>
                </c:pt>
                <c:pt idx="114">
                  <c:v>100098.89828273073</c:v>
                </c:pt>
                <c:pt idx="115">
                  <c:v>101164.75707640153</c:v>
                </c:pt>
                <c:pt idx="116">
                  <c:v>102230.61587007235</c:v>
                </c:pt>
                <c:pt idx="117">
                  <c:v>103296.47466374317</c:v>
                </c:pt>
                <c:pt idx="118">
                  <c:v>104362.33345741396</c:v>
                </c:pt>
                <c:pt idx="119">
                  <c:v>105428.19225108478</c:v>
                </c:pt>
                <c:pt idx="120">
                  <c:v>106494.05104475554</c:v>
                </c:pt>
                <c:pt idx="121">
                  <c:v>107559.90983842636</c:v>
                </c:pt>
                <c:pt idx="122">
                  <c:v>108625.76863209717</c:v>
                </c:pt>
                <c:pt idx="123">
                  <c:v>109691.62742576796</c:v>
                </c:pt>
                <c:pt idx="124">
                  <c:v>110757.4862194388</c:v>
                </c:pt>
                <c:pt idx="125">
                  <c:v>111823.34501310957</c:v>
                </c:pt>
                <c:pt idx="126">
                  <c:v>112889.20380678042</c:v>
                </c:pt>
                <c:pt idx="127">
                  <c:v>113955.0626004512</c:v>
                </c:pt>
                <c:pt idx="128">
                  <c:v>115020.92139412199</c:v>
                </c:pt>
                <c:pt idx="129">
                  <c:v>116086.78018779277</c:v>
                </c:pt>
                <c:pt idx="130">
                  <c:v>117152.63898146356</c:v>
                </c:pt>
                <c:pt idx="131">
                  <c:v>118218.49777513443</c:v>
                </c:pt>
                <c:pt idx="132">
                  <c:v>119284.35656880519</c:v>
                </c:pt>
                <c:pt idx="133">
                  <c:v>120350.21536247604</c:v>
                </c:pt>
                <c:pt idx="134">
                  <c:v>121416.07415614683</c:v>
                </c:pt>
                <c:pt idx="135">
                  <c:v>122481.93294981765</c:v>
                </c:pt>
                <c:pt idx="136">
                  <c:v>123547.79174348841</c:v>
                </c:pt>
                <c:pt idx="137">
                  <c:v>124613.65053715926</c:v>
                </c:pt>
                <c:pt idx="138">
                  <c:v>125679.50933083007</c:v>
                </c:pt>
                <c:pt idx="139">
                  <c:v>126745.36812450085</c:v>
                </c:pt>
                <c:pt idx="140">
                  <c:v>127811.22691817165</c:v>
                </c:pt>
                <c:pt idx="141">
                  <c:v>128877.08571184245</c:v>
                </c:pt>
                <c:pt idx="142">
                  <c:v>129942.94450551327</c:v>
                </c:pt>
                <c:pt idx="143">
                  <c:v>131008.80329918407</c:v>
                </c:pt>
                <c:pt idx="144">
                  <c:v>132074.66209285488</c:v>
                </c:pt>
                <c:pt idx="145">
                  <c:v>133140.52088652566</c:v>
                </c:pt>
                <c:pt idx="146">
                  <c:v>134206.37968019649</c:v>
                </c:pt>
                <c:pt idx="147">
                  <c:v>135272.23847386733</c:v>
                </c:pt>
                <c:pt idx="148">
                  <c:v>136338.09726753813</c:v>
                </c:pt>
                <c:pt idx="149">
                  <c:v>137403.95606120888</c:v>
                </c:pt>
                <c:pt idx="150">
                  <c:v>138469.81485487975</c:v>
                </c:pt>
                <c:pt idx="151">
                  <c:v>139535.6736485505</c:v>
                </c:pt>
                <c:pt idx="152">
                  <c:v>140601.5324422213</c:v>
                </c:pt>
                <c:pt idx="153">
                  <c:v>141667.39123589214</c:v>
                </c:pt>
                <c:pt idx="154">
                  <c:v>142733.25002956289</c:v>
                </c:pt>
                <c:pt idx="155">
                  <c:v>143799.10882323369</c:v>
                </c:pt>
                <c:pt idx="156">
                  <c:v>144864.96761690453</c:v>
                </c:pt>
                <c:pt idx="157">
                  <c:v>145930.82641057533</c:v>
                </c:pt>
                <c:pt idx="158">
                  <c:v>146996.68520424614</c:v>
                </c:pt>
                <c:pt idx="159">
                  <c:v>148062.54399791692</c:v>
                </c:pt>
                <c:pt idx="160">
                  <c:v>149128.40279158775</c:v>
                </c:pt>
                <c:pt idx="161">
                  <c:v>150194.26158525853</c:v>
                </c:pt>
                <c:pt idx="162">
                  <c:v>151260.12037892936</c:v>
                </c:pt>
                <c:pt idx="163">
                  <c:v>152325.9791726002</c:v>
                </c:pt>
                <c:pt idx="164">
                  <c:v>153391.83796627098</c:v>
                </c:pt>
                <c:pt idx="165">
                  <c:v>154457.69675994178</c:v>
                </c:pt>
                <c:pt idx="166">
                  <c:v>155523.55555361256</c:v>
                </c:pt>
                <c:pt idx="167">
                  <c:v>156589.41434728337</c:v>
                </c:pt>
                <c:pt idx="168">
                  <c:v>157655.27314095417</c:v>
                </c:pt>
                <c:pt idx="169">
                  <c:v>158721.13193462495</c:v>
                </c:pt>
                <c:pt idx="170">
                  <c:v>159786.99072829579</c:v>
                </c:pt>
                <c:pt idx="171">
                  <c:v>160852.84952196662</c:v>
                </c:pt>
                <c:pt idx="172">
                  <c:v>161918.70831563743</c:v>
                </c:pt>
                <c:pt idx="173">
                  <c:v>162984.56710930818</c:v>
                </c:pt>
                <c:pt idx="174">
                  <c:v>164050.42590297895</c:v>
                </c:pt>
                <c:pt idx="175">
                  <c:v>165116.28469664985</c:v>
                </c:pt>
                <c:pt idx="176">
                  <c:v>166182.1434903206</c:v>
                </c:pt>
                <c:pt idx="177">
                  <c:v>167248.0022839914</c:v>
                </c:pt>
                <c:pt idx="178">
                  <c:v>168313.86107766227</c:v>
                </c:pt>
                <c:pt idx="179">
                  <c:v>169379.71987133304</c:v>
                </c:pt>
                <c:pt idx="180">
                  <c:v>170445.57866500382</c:v>
                </c:pt>
                <c:pt idx="181">
                  <c:v>171511.4374586746</c:v>
                </c:pt>
                <c:pt idx="182">
                  <c:v>172577.2962523454</c:v>
                </c:pt>
                <c:pt idx="183">
                  <c:v>173643.15504601627</c:v>
                </c:pt>
                <c:pt idx="184">
                  <c:v>174153.17756712853</c:v>
                </c:pt>
                <c:pt idx="185">
                  <c:v>174003.3066322669</c:v>
                </c:pt>
                <c:pt idx="186">
                  <c:v>173853.43569740513</c:v>
                </c:pt>
                <c:pt idx="187">
                  <c:v>173703.56476254348</c:v>
                </c:pt>
                <c:pt idx="188">
                  <c:v>173553.69382768185</c:v>
                </c:pt>
                <c:pt idx="189">
                  <c:v>173403.8228928202</c:v>
                </c:pt>
                <c:pt idx="190">
                  <c:v>173253.9519579586</c:v>
                </c:pt>
                <c:pt idx="191">
                  <c:v>173104.08102309695</c:v>
                </c:pt>
                <c:pt idx="192">
                  <c:v>172954.21008823524</c:v>
                </c:pt>
                <c:pt idx="193">
                  <c:v>172819.83805444816</c:v>
                </c:pt>
                <c:pt idx="194">
                  <c:v>172686.03448231169</c:v>
                </c:pt>
                <c:pt idx="195">
                  <c:v>172552.23091017528</c:v>
                </c:pt>
                <c:pt idx="196">
                  <c:v>172418.42733803889</c:v>
                </c:pt>
                <c:pt idx="197">
                  <c:v>172284.62376590242</c:v>
                </c:pt>
                <c:pt idx="198">
                  <c:v>172150.82019376606</c:v>
                </c:pt>
                <c:pt idx="199">
                  <c:v>172017.01662162974</c:v>
                </c:pt>
                <c:pt idx="200">
                  <c:v>171883.21304949326</c:v>
                </c:pt>
                <c:pt idx="201">
                  <c:v>171749.40947735685</c:v>
                </c:pt>
                <c:pt idx="202">
                  <c:v>171623.93953566402</c:v>
                </c:pt>
                <c:pt idx="203">
                  <c:v>171505.17837122473</c:v>
                </c:pt>
                <c:pt idx="204">
                  <c:v>171386.41720678538</c:v>
                </c:pt>
                <c:pt idx="205">
                  <c:v>171267.65604234609</c:v>
                </c:pt>
                <c:pt idx="206">
                  <c:v>171148.8948779068</c:v>
                </c:pt>
                <c:pt idx="207">
                  <c:v>171030.13371346734</c:v>
                </c:pt>
                <c:pt idx="208">
                  <c:v>170911.37254902805</c:v>
                </c:pt>
                <c:pt idx="209">
                  <c:v>170792.61138458876</c:v>
                </c:pt>
                <c:pt idx="210">
                  <c:v>170673.85022014938</c:v>
                </c:pt>
                <c:pt idx="211">
                  <c:v>170555.08905571006</c:v>
                </c:pt>
                <c:pt idx="212">
                  <c:v>170437.22602224286</c:v>
                </c:pt>
                <c:pt idx="213">
                  <c:v>170332.50424976021</c:v>
                </c:pt>
                <c:pt idx="214">
                  <c:v>170227.78247727753</c:v>
                </c:pt>
                <c:pt idx="215">
                  <c:v>170123.06070479486</c:v>
                </c:pt>
                <c:pt idx="216">
                  <c:v>170018.33893231215</c:v>
                </c:pt>
                <c:pt idx="217">
                  <c:v>169913.61715982942</c:v>
                </c:pt>
                <c:pt idx="218">
                  <c:v>169808.89538734683</c:v>
                </c:pt>
                <c:pt idx="219">
                  <c:v>169704.17361486406</c:v>
                </c:pt>
                <c:pt idx="220">
                  <c:v>169599.45184238147</c:v>
                </c:pt>
                <c:pt idx="221">
                  <c:v>169494.73006989877</c:v>
                </c:pt>
                <c:pt idx="222">
                  <c:v>169390.00829741609</c:v>
                </c:pt>
                <c:pt idx="223">
                  <c:v>169285.28652493336</c:v>
                </c:pt>
                <c:pt idx="224">
                  <c:v>169184.3877933209</c:v>
                </c:pt>
                <c:pt idx="225">
                  <c:v>169092.72395763514</c:v>
                </c:pt>
                <c:pt idx="226">
                  <c:v>169001.0601219495</c:v>
                </c:pt>
                <c:pt idx="227">
                  <c:v>168909.39628626371</c:v>
                </c:pt>
                <c:pt idx="228">
                  <c:v>168817.73245057816</c:v>
                </c:pt>
                <c:pt idx="229">
                  <c:v>168726.06861489234</c:v>
                </c:pt>
                <c:pt idx="230">
                  <c:v>168634.4047792067</c:v>
                </c:pt>
              </c:numCache>
            </c:numRef>
          </c:val>
          <c:smooth val="0"/>
          <c:extLst>
            <c:ext xmlns:c16="http://schemas.microsoft.com/office/drawing/2014/chart" uri="{C3380CC4-5D6E-409C-BE32-E72D297353CC}">
              <c16:uniqueId val="{00000001-86B3-4CE7-AF05-9B7820CAD7E0}"/>
            </c:ext>
          </c:extLst>
        </c:ser>
        <c:ser>
          <c:idx val="2"/>
          <c:order val="1"/>
          <c:tx>
            <c:strRef>
              <c:f>Sheet2!$C$1</c:f>
              <c:strCache>
                <c:ptCount val="1"/>
                <c:pt idx="0">
                  <c:v>REPAYE (Up to 20 Years)</c:v>
                </c:pt>
              </c:strCache>
            </c:strRef>
          </c:tx>
          <c:spPr>
            <a:ln w="25400" cap="rnd">
              <a:solidFill>
                <a:schemeClr val="accent3"/>
              </a:solidFill>
              <a:round/>
            </a:ln>
            <a:effectLst/>
          </c:spPr>
          <c:marker>
            <c:symbol val="none"/>
          </c:marker>
          <c:cat>
            <c:numRef>
              <c:f>Sheet2!$A$2:$A$232</c:f>
              <c:numCache>
                <c:formatCode>"$"#,##0_);[Red]\("$"#,##0\)</c:formatCode>
                <c:ptCount val="23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pt idx="173">
                  <c:v>91500</c:v>
                </c:pt>
                <c:pt idx="174">
                  <c:v>92000</c:v>
                </c:pt>
                <c:pt idx="175">
                  <c:v>92500</c:v>
                </c:pt>
                <c:pt idx="176">
                  <c:v>93000</c:v>
                </c:pt>
                <c:pt idx="177">
                  <c:v>93500</c:v>
                </c:pt>
                <c:pt idx="178">
                  <c:v>94000</c:v>
                </c:pt>
                <c:pt idx="179">
                  <c:v>94500</c:v>
                </c:pt>
                <c:pt idx="180">
                  <c:v>95000</c:v>
                </c:pt>
                <c:pt idx="181">
                  <c:v>95500</c:v>
                </c:pt>
                <c:pt idx="182">
                  <c:v>96000</c:v>
                </c:pt>
                <c:pt idx="183">
                  <c:v>96500</c:v>
                </c:pt>
                <c:pt idx="184">
                  <c:v>97000</c:v>
                </c:pt>
                <c:pt idx="185">
                  <c:v>97500</c:v>
                </c:pt>
                <c:pt idx="186">
                  <c:v>98000</c:v>
                </c:pt>
                <c:pt idx="187">
                  <c:v>98500</c:v>
                </c:pt>
                <c:pt idx="188">
                  <c:v>99000</c:v>
                </c:pt>
                <c:pt idx="189">
                  <c:v>99500</c:v>
                </c:pt>
                <c:pt idx="190">
                  <c:v>100000</c:v>
                </c:pt>
                <c:pt idx="191">
                  <c:v>100500</c:v>
                </c:pt>
                <c:pt idx="192">
                  <c:v>101000</c:v>
                </c:pt>
                <c:pt idx="193">
                  <c:v>101500</c:v>
                </c:pt>
                <c:pt idx="194">
                  <c:v>102000</c:v>
                </c:pt>
                <c:pt idx="195">
                  <c:v>102500</c:v>
                </c:pt>
                <c:pt idx="196">
                  <c:v>103000</c:v>
                </c:pt>
                <c:pt idx="197">
                  <c:v>103500</c:v>
                </c:pt>
                <c:pt idx="198">
                  <c:v>104000</c:v>
                </c:pt>
                <c:pt idx="199">
                  <c:v>104500</c:v>
                </c:pt>
                <c:pt idx="200">
                  <c:v>105000</c:v>
                </c:pt>
                <c:pt idx="201">
                  <c:v>105500</c:v>
                </c:pt>
                <c:pt idx="202">
                  <c:v>106000</c:v>
                </c:pt>
                <c:pt idx="203">
                  <c:v>106500</c:v>
                </c:pt>
                <c:pt idx="204">
                  <c:v>107000</c:v>
                </c:pt>
                <c:pt idx="205">
                  <c:v>107500</c:v>
                </c:pt>
                <c:pt idx="206">
                  <c:v>108000</c:v>
                </c:pt>
                <c:pt idx="207">
                  <c:v>108500</c:v>
                </c:pt>
                <c:pt idx="208">
                  <c:v>109000</c:v>
                </c:pt>
                <c:pt idx="209">
                  <c:v>109500</c:v>
                </c:pt>
                <c:pt idx="210">
                  <c:v>110000</c:v>
                </c:pt>
                <c:pt idx="211">
                  <c:v>110500</c:v>
                </c:pt>
                <c:pt idx="212">
                  <c:v>111000</c:v>
                </c:pt>
                <c:pt idx="213">
                  <c:v>111500</c:v>
                </c:pt>
                <c:pt idx="214">
                  <c:v>112000</c:v>
                </c:pt>
                <c:pt idx="215">
                  <c:v>112500</c:v>
                </c:pt>
                <c:pt idx="216">
                  <c:v>113000</c:v>
                </c:pt>
                <c:pt idx="217">
                  <c:v>113500</c:v>
                </c:pt>
                <c:pt idx="218">
                  <c:v>114000</c:v>
                </c:pt>
                <c:pt idx="219">
                  <c:v>114500</c:v>
                </c:pt>
                <c:pt idx="220">
                  <c:v>115000</c:v>
                </c:pt>
                <c:pt idx="221">
                  <c:v>115500</c:v>
                </c:pt>
                <c:pt idx="222">
                  <c:v>116000</c:v>
                </c:pt>
                <c:pt idx="223">
                  <c:v>116500</c:v>
                </c:pt>
                <c:pt idx="224">
                  <c:v>117000</c:v>
                </c:pt>
                <c:pt idx="225">
                  <c:v>117500</c:v>
                </c:pt>
                <c:pt idx="226">
                  <c:v>118000</c:v>
                </c:pt>
                <c:pt idx="227">
                  <c:v>118500</c:v>
                </c:pt>
                <c:pt idx="228">
                  <c:v>119000</c:v>
                </c:pt>
                <c:pt idx="229">
                  <c:v>119500</c:v>
                </c:pt>
                <c:pt idx="230">
                  <c:v>120000</c:v>
                </c:pt>
              </c:numCache>
            </c:numRef>
          </c:cat>
          <c:val>
            <c:numRef>
              <c:f>Sheet2!$C$2:$C$232</c:f>
              <c:numCache>
                <c:formatCode>"$"#,##0</c:formatCode>
                <c:ptCount val="2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85.760191889706704</c:v>
                </c:pt>
                <c:pt idx="17">
                  <c:v>285.92954313485075</c:v>
                </c:pt>
                <c:pt idx="18">
                  <c:v>593.89475749614212</c:v>
                </c:pt>
                <c:pt idx="19">
                  <c:v>1003.1665887980402</c:v>
                </c:pt>
                <c:pt idx="20">
                  <c:v>1507.3757972168971</c:v>
                </c:pt>
                <c:pt idx="21">
                  <c:v>2100.2691810652213</c:v>
                </c:pt>
                <c:pt idx="22">
                  <c:v>2786.0460812948072</c:v>
                </c:pt>
                <c:pt idx="23">
                  <c:v>3551.6789364242363</c:v>
                </c:pt>
                <c:pt idx="24">
                  <c:v>4396.4904629984067</c:v>
                </c:pt>
                <c:pt idx="25">
                  <c:v>5318.4817644191808</c:v>
                </c:pt>
                <c:pt idx="26">
                  <c:v>6312.062303777614</c:v>
                </c:pt>
                <c:pt idx="27">
                  <c:v>7369.1832333707553</c:v>
                </c:pt>
                <c:pt idx="28">
                  <c:v>8435.042027041558</c:v>
                </c:pt>
                <c:pt idx="29">
                  <c:v>9500.9008207123643</c:v>
                </c:pt>
                <c:pt idx="30">
                  <c:v>10566.759614383174</c:v>
                </c:pt>
                <c:pt idx="31">
                  <c:v>11632.618408053962</c:v>
                </c:pt>
                <c:pt idx="32">
                  <c:v>12698.477201724781</c:v>
                </c:pt>
                <c:pt idx="33">
                  <c:v>13764.335995395577</c:v>
                </c:pt>
                <c:pt idx="34">
                  <c:v>14830.194789066376</c:v>
                </c:pt>
                <c:pt idx="35">
                  <c:v>15896.053582737197</c:v>
                </c:pt>
                <c:pt idx="36">
                  <c:v>16961.912376407985</c:v>
                </c:pt>
                <c:pt idx="37">
                  <c:v>18027.771170078806</c:v>
                </c:pt>
                <c:pt idx="38">
                  <c:v>19093.629963749609</c:v>
                </c:pt>
                <c:pt idx="39">
                  <c:v>20159.488757420415</c:v>
                </c:pt>
                <c:pt idx="40">
                  <c:v>21225.347551091218</c:v>
                </c:pt>
                <c:pt idx="41">
                  <c:v>22291.206344762009</c:v>
                </c:pt>
                <c:pt idx="42">
                  <c:v>23357.06513843283</c:v>
                </c:pt>
                <c:pt idx="43">
                  <c:v>24422.923932103622</c:v>
                </c:pt>
                <c:pt idx="44">
                  <c:v>25488.782725774421</c:v>
                </c:pt>
                <c:pt idx="45">
                  <c:v>26554.641519445231</c:v>
                </c:pt>
                <c:pt idx="46">
                  <c:v>27620.50031311603</c:v>
                </c:pt>
                <c:pt idx="47">
                  <c:v>28686.359106786855</c:v>
                </c:pt>
                <c:pt idx="48">
                  <c:v>29752.217900457639</c:v>
                </c:pt>
                <c:pt idx="49">
                  <c:v>30818.076694128446</c:v>
                </c:pt>
                <c:pt idx="50">
                  <c:v>31883.935487799255</c:v>
                </c:pt>
                <c:pt idx="51">
                  <c:v>32949.79428147008</c:v>
                </c:pt>
                <c:pt idx="52">
                  <c:v>34015.653075140872</c:v>
                </c:pt>
                <c:pt idx="53">
                  <c:v>35081.511868811671</c:v>
                </c:pt>
                <c:pt idx="54">
                  <c:v>36147.37066248247</c:v>
                </c:pt>
                <c:pt idx="55">
                  <c:v>37213.229456153269</c:v>
                </c:pt>
                <c:pt idx="56">
                  <c:v>38279.088249824083</c:v>
                </c:pt>
                <c:pt idx="57">
                  <c:v>39344.947043494889</c:v>
                </c:pt>
                <c:pt idx="58">
                  <c:v>40410.80583716571</c:v>
                </c:pt>
                <c:pt idx="59">
                  <c:v>41476.664630836502</c:v>
                </c:pt>
                <c:pt idx="60">
                  <c:v>42542.523424507286</c:v>
                </c:pt>
                <c:pt idx="61">
                  <c:v>43608.382218178107</c:v>
                </c:pt>
                <c:pt idx="62">
                  <c:v>44674.241011848913</c:v>
                </c:pt>
                <c:pt idx="63">
                  <c:v>45740.09980551972</c:v>
                </c:pt>
                <c:pt idx="64">
                  <c:v>46805.958599190519</c:v>
                </c:pt>
                <c:pt idx="65">
                  <c:v>47871.817392861325</c:v>
                </c:pt>
                <c:pt idx="66">
                  <c:v>48937.676186532131</c:v>
                </c:pt>
                <c:pt idx="67">
                  <c:v>50003.534980202923</c:v>
                </c:pt>
                <c:pt idx="68">
                  <c:v>51069.393773873737</c:v>
                </c:pt>
                <c:pt idx="69">
                  <c:v>52135.252567544543</c:v>
                </c:pt>
                <c:pt idx="70">
                  <c:v>53201.111361215342</c:v>
                </c:pt>
                <c:pt idx="71">
                  <c:v>54266.970154886149</c:v>
                </c:pt>
                <c:pt idx="72">
                  <c:v>55332.82894855694</c:v>
                </c:pt>
                <c:pt idx="73">
                  <c:v>56398.687742227747</c:v>
                </c:pt>
                <c:pt idx="74">
                  <c:v>57464.546535898568</c:v>
                </c:pt>
                <c:pt idx="75">
                  <c:v>58530.405329569381</c:v>
                </c:pt>
                <c:pt idx="76">
                  <c:v>59596.264123240166</c:v>
                </c:pt>
                <c:pt idx="77">
                  <c:v>60662.122916910987</c:v>
                </c:pt>
                <c:pt idx="78">
                  <c:v>61727.981710581756</c:v>
                </c:pt>
                <c:pt idx="79">
                  <c:v>62793.840504252592</c:v>
                </c:pt>
                <c:pt idx="80">
                  <c:v>63859.699297923391</c:v>
                </c:pt>
                <c:pt idx="81">
                  <c:v>64925.558091594205</c:v>
                </c:pt>
                <c:pt idx="82">
                  <c:v>65991.416885264975</c:v>
                </c:pt>
                <c:pt idx="83">
                  <c:v>67057.27567893581</c:v>
                </c:pt>
                <c:pt idx="84">
                  <c:v>68123.134472606616</c:v>
                </c:pt>
                <c:pt idx="85">
                  <c:v>69188.993266277394</c:v>
                </c:pt>
                <c:pt idx="86">
                  <c:v>70254.852059948214</c:v>
                </c:pt>
                <c:pt idx="87">
                  <c:v>71320.710853619006</c:v>
                </c:pt>
                <c:pt idx="88">
                  <c:v>72386.569647289856</c:v>
                </c:pt>
                <c:pt idx="89">
                  <c:v>73452.428440960633</c:v>
                </c:pt>
                <c:pt idx="90">
                  <c:v>74518.287234631454</c:v>
                </c:pt>
                <c:pt idx="91">
                  <c:v>75584.146028302261</c:v>
                </c:pt>
                <c:pt idx="92">
                  <c:v>76650.004821973038</c:v>
                </c:pt>
                <c:pt idx="93">
                  <c:v>77715.863615643873</c:v>
                </c:pt>
                <c:pt idx="94">
                  <c:v>78781.722409314665</c:v>
                </c:pt>
                <c:pt idx="95">
                  <c:v>79847.581202985442</c:v>
                </c:pt>
                <c:pt idx="96">
                  <c:v>80913.439996656263</c:v>
                </c:pt>
                <c:pt idx="97">
                  <c:v>81979.29879032707</c:v>
                </c:pt>
                <c:pt idx="98">
                  <c:v>83045.157583997847</c:v>
                </c:pt>
                <c:pt idx="99">
                  <c:v>84111.016377668682</c:v>
                </c:pt>
                <c:pt idx="100">
                  <c:v>85176.875171339459</c:v>
                </c:pt>
                <c:pt idx="101">
                  <c:v>86242.733965010324</c:v>
                </c:pt>
                <c:pt idx="102">
                  <c:v>87308.592758681072</c:v>
                </c:pt>
                <c:pt idx="103">
                  <c:v>88374.451552351893</c:v>
                </c:pt>
                <c:pt idx="104">
                  <c:v>89440.310346022699</c:v>
                </c:pt>
                <c:pt idx="105">
                  <c:v>90506.169139693506</c:v>
                </c:pt>
                <c:pt idx="106">
                  <c:v>91572.027933364297</c:v>
                </c:pt>
                <c:pt idx="107">
                  <c:v>92637.886727035104</c:v>
                </c:pt>
                <c:pt idx="108">
                  <c:v>93703.745520705896</c:v>
                </c:pt>
                <c:pt idx="109">
                  <c:v>94769.604314376717</c:v>
                </c:pt>
                <c:pt idx="110">
                  <c:v>95835.463108047523</c:v>
                </c:pt>
                <c:pt idx="111">
                  <c:v>96901.321901718329</c:v>
                </c:pt>
                <c:pt idx="112">
                  <c:v>97967.180695389179</c:v>
                </c:pt>
                <c:pt idx="113">
                  <c:v>99033.039489059942</c:v>
                </c:pt>
                <c:pt idx="114">
                  <c:v>100098.89828273073</c:v>
                </c:pt>
                <c:pt idx="115">
                  <c:v>101164.75707640153</c:v>
                </c:pt>
                <c:pt idx="116">
                  <c:v>102230.61587007235</c:v>
                </c:pt>
                <c:pt idx="117">
                  <c:v>103296.47466374317</c:v>
                </c:pt>
                <c:pt idx="118">
                  <c:v>104362.33345741396</c:v>
                </c:pt>
                <c:pt idx="119">
                  <c:v>105428.19225108478</c:v>
                </c:pt>
                <c:pt idx="120">
                  <c:v>106494.05104475554</c:v>
                </c:pt>
                <c:pt idx="121">
                  <c:v>107559.90983842636</c:v>
                </c:pt>
                <c:pt idx="122">
                  <c:v>108625.76863209717</c:v>
                </c:pt>
                <c:pt idx="123">
                  <c:v>109691.62742576796</c:v>
                </c:pt>
                <c:pt idx="124">
                  <c:v>110757.4862194388</c:v>
                </c:pt>
                <c:pt idx="125">
                  <c:v>111823.34501310957</c:v>
                </c:pt>
                <c:pt idx="126">
                  <c:v>112889.20380678042</c:v>
                </c:pt>
                <c:pt idx="127">
                  <c:v>113955.0626004512</c:v>
                </c:pt>
                <c:pt idx="128">
                  <c:v>115020.92139412199</c:v>
                </c:pt>
                <c:pt idx="129">
                  <c:v>116086.78018779277</c:v>
                </c:pt>
                <c:pt idx="130">
                  <c:v>117152.63898146356</c:v>
                </c:pt>
                <c:pt idx="131">
                  <c:v>118218.49777513443</c:v>
                </c:pt>
                <c:pt idx="132">
                  <c:v>119284.35656880519</c:v>
                </c:pt>
                <c:pt idx="133">
                  <c:v>120350.21536247604</c:v>
                </c:pt>
                <c:pt idx="134">
                  <c:v>121416.07415614683</c:v>
                </c:pt>
                <c:pt idx="135">
                  <c:v>122481.93294981765</c:v>
                </c:pt>
                <c:pt idx="136">
                  <c:v>123547.79174348841</c:v>
                </c:pt>
                <c:pt idx="137">
                  <c:v>124613.65053715926</c:v>
                </c:pt>
                <c:pt idx="138">
                  <c:v>125679.50933083007</c:v>
                </c:pt>
                <c:pt idx="139">
                  <c:v>126745.36812450085</c:v>
                </c:pt>
                <c:pt idx="140">
                  <c:v>127811.22691817165</c:v>
                </c:pt>
                <c:pt idx="141">
                  <c:v>128877.08571184245</c:v>
                </c:pt>
                <c:pt idx="142">
                  <c:v>129942.94450551327</c:v>
                </c:pt>
                <c:pt idx="143">
                  <c:v>131008.80329918407</c:v>
                </c:pt>
                <c:pt idx="144">
                  <c:v>132074.66209285488</c:v>
                </c:pt>
                <c:pt idx="145">
                  <c:v>133140.52088652566</c:v>
                </c:pt>
                <c:pt idx="146">
                  <c:v>134206.37968019649</c:v>
                </c:pt>
                <c:pt idx="147">
                  <c:v>135272.23847386733</c:v>
                </c:pt>
                <c:pt idx="148">
                  <c:v>136338.09726753813</c:v>
                </c:pt>
                <c:pt idx="149">
                  <c:v>137403.95606120888</c:v>
                </c:pt>
                <c:pt idx="150">
                  <c:v>138469.81485487975</c:v>
                </c:pt>
                <c:pt idx="151">
                  <c:v>139535.6736485505</c:v>
                </c:pt>
                <c:pt idx="152">
                  <c:v>140601.5324422213</c:v>
                </c:pt>
                <c:pt idx="153">
                  <c:v>141667.39123589214</c:v>
                </c:pt>
                <c:pt idx="154">
                  <c:v>142733.25002956289</c:v>
                </c:pt>
                <c:pt idx="155">
                  <c:v>143799.10882323369</c:v>
                </c:pt>
                <c:pt idx="156">
                  <c:v>144864.96761690453</c:v>
                </c:pt>
                <c:pt idx="157">
                  <c:v>145930.82641057533</c:v>
                </c:pt>
                <c:pt idx="158">
                  <c:v>146996.68520424614</c:v>
                </c:pt>
                <c:pt idx="159">
                  <c:v>148062.54399791692</c:v>
                </c:pt>
                <c:pt idx="160">
                  <c:v>149128.40279158775</c:v>
                </c:pt>
                <c:pt idx="161">
                  <c:v>150194.26158525853</c:v>
                </c:pt>
                <c:pt idx="162">
                  <c:v>151260.12037892936</c:v>
                </c:pt>
                <c:pt idx="163">
                  <c:v>152325.9791726002</c:v>
                </c:pt>
                <c:pt idx="164">
                  <c:v>153391.83796627098</c:v>
                </c:pt>
                <c:pt idx="165">
                  <c:v>154457.69675994178</c:v>
                </c:pt>
                <c:pt idx="166">
                  <c:v>155523.55555361256</c:v>
                </c:pt>
                <c:pt idx="167">
                  <c:v>156589.41434728337</c:v>
                </c:pt>
                <c:pt idx="168">
                  <c:v>157655.27314095417</c:v>
                </c:pt>
                <c:pt idx="169">
                  <c:v>158721.13193462495</c:v>
                </c:pt>
                <c:pt idx="170">
                  <c:v>159786.99072829579</c:v>
                </c:pt>
                <c:pt idx="171">
                  <c:v>160852.84952196662</c:v>
                </c:pt>
                <c:pt idx="172">
                  <c:v>161918.70831563743</c:v>
                </c:pt>
                <c:pt idx="173">
                  <c:v>162984.56710930818</c:v>
                </c:pt>
                <c:pt idx="174">
                  <c:v>164050.42590297895</c:v>
                </c:pt>
                <c:pt idx="175">
                  <c:v>165116.28469664985</c:v>
                </c:pt>
                <c:pt idx="176">
                  <c:v>166182.1434903206</c:v>
                </c:pt>
                <c:pt idx="177">
                  <c:v>167248.0022839914</c:v>
                </c:pt>
                <c:pt idx="178">
                  <c:v>168313.86107766227</c:v>
                </c:pt>
                <c:pt idx="179">
                  <c:v>169379.71987133304</c:v>
                </c:pt>
                <c:pt idx="180">
                  <c:v>170445.57866500382</c:v>
                </c:pt>
                <c:pt idx="181">
                  <c:v>171511.4374586746</c:v>
                </c:pt>
                <c:pt idx="182">
                  <c:v>172577.2962523454</c:v>
                </c:pt>
                <c:pt idx="183">
                  <c:v>173643.15504601627</c:v>
                </c:pt>
                <c:pt idx="184">
                  <c:v>174153.17756712853</c:v>
                </c:pt>
                <c:pt idx="185">
                  <c:v>174003.3066322669</c:v>
                </c:pt>
                <c:pt idx="186">
                  <c:v>173853.43569740513</c:v>
                </c:pt>
                <c:pt idx="187">
                  <c:v>173703.56476254348</c:v>
                </c:pt>
                <c:pt idx="188">
                  <c:v>173553.69382768185</c:v>
                </c:pt>
                <c:pt idx="189">
                  <c:v>173403.8228928202</c:v>
                </c:pt>
                <c:pt idx="190">
                  <c:v>173253.9519579586</c:v>
                </c:pt>
                <c:pt idx="191">
                  <c:v>173104.08102309695</c:v>
                </c:pt>
                <c:pt idx="192">
                  <c:v>172954.21008823524</c:v>
                </c:pt>
                <c:pt idx="193">
                  <c:v>172819.83805444816</c:v>
                </c:pt>
                <c:pt idx="194">
                  <c:v>172686.03448231169</c:v>
                </c:pt>
                <c:pt idx="195">
                  <c:v>172552.23091017528</c:v>
                </c:pt>
                <c:pt idx="196">
                  <c:v>172418.42733803889</c:v>
                </c:pt>
                <c:pt idx="197">
                  <c:v>172284.62376590242</c:v>
                </c:pt>
                <c:pt idx="198">
                  <c:v>172150.82019376606</c:v>
                </c:pt>
                <c:pt idx="199">
                  <c:v>172017.01662162974</c:v>
                </c:pt>
                <c:pt idx="200">
                  <c:v>171883.21304949326</c:v>
                </c:pt>
                <c:pt idx="201">
                  <c:v>171749.40947735685</c:v>
                </c:pt>
                <c:pt idx="202">
                  <c:v>171623.93953566402</c:v>
                </c:pt>
                <c:pt idx="203">
                  <c:v>171505.17837122473</c:v>
                </c:pt>
                <c:pt idx="204">
                  <c:v>171386.41720678538</c:v>
                </c:pt>
                <c:pt idx="205">
                  <c:v>171267.65604234609</c:v>
                </c:pt>
                <c:pt idx="206">
                  <c:v>171148.8948779068</c:v>
                </c:pt>
                <c:pt idx="207">
                  <c:v>171030.13371346734</c:v>
                </c:pt>
                <c:pt idx="208">
                  <c:v>170911.37254902805</c:v>
                </c:pt>
                <c:pt idx="209">
                  <c:v>170792.61138458876</c:v>
                </c:pt>
                <c:pt idx="210">
                  <c:v>170673.85022014938</c:v>
                </c:pt>
                <c:pt idx="211">
                  <c:v>170555.08905571006</c:v>
                </c:pt>
                <c:pt idx="212">
                  <c:v>170437.22602224286</c:v>
                </c:pt>
                <c:pt idx="213">
                  <c:v>170332.50424976021</c:v>
                </c:pt>
                <c:pt idx="214">
                  <c:v>170227.78247727753</c:v>
                </c:pt>
                <c:pt idx="215">
                  <c:v>170123.06070479486</c:v>
                </c:pt>
                <c:pt idx="216">
                  <c:v>170018.33893231215</c:v>
                </c:pt>
                <c:pt idx="217">
                  <c:v>169913.61715982942</c:v>
                </c:pt>
                <c:pt idx="218">
                  <c:v>169808.89538734683</c:v>
                </c:pt>
                <c:pt idx="219">
                  <c:v>169704.17361486406</c:v>
                </c:pt>
                <c:pt idx="220">
                  <c:v>169599.45184238147</c:v>
                </c:pt>
                <c:pt idx="221">
                  <c:v>169494.73006989877</c:v>
                </c:pt>
                <c:pt idx="222">
                  <c:v>169390.00829741609</c:v>
                </c:pt>
                <c:pt idx="223">
                  <c:v>169285.28652493336</c:v>
                </c:pt>
                <c:pt idx="224">
                  <c:v>169184.3877933209</c:v>
                </c:pt>
                <c:pt idx="225">
                  <c:v>169092.72395763514</c:v>
                </c:pt>
                <c:pt idx="226">
                  <c:v>169001.0601219495</c:v>
                </c:pt>
                <c:pt idx="227">
                  <c:v>168909.39628626371</c:v>
                </c:pt>
                <c:pt idx="228">
                  <c:v>168817.73245057816</c:v>
                </c:pt>
                <c:pt idx="229">
                  <c:v>168726.06861489234</c:v>
                </c:pt>
                <c:pt idx="230">
                  <c:v>168634.4047792067</c:v>
                </c:pt>
              </c:numCache>
            </c:numRef>
          </c:val>
          <c:smooth val="0"/>
          <c:extLst>
            <c:ext xmlns:c16="http://schemas.microsoft.com/office/drawing/2014/chart" uri="{C3380CC4-5D6E-409C-BE32-E72D297353CC}">
              <c16:uniqueId val="{00000002-86B3-4CE7-AF05-9B7820CAD7E0}"/>
            </c:ext>
          </c:extLst>
        </c:ser>
        <c:ser>
          <c:idx val="3"/>
          <c:order val="2"/>
          <c:tx>
            <c:strRef>
              <c:f>Sheet2!$D$1</c:f>
              <c:strCache>
                <c:ptCount val="1"/>
                <c:pt idx="0">
                  <c:v>PROSPER Act (Up to 40 Years)</c:v>
                </c:pt>
              </c:strCache>
            </c:strRef>
          </c:tx>
          <c:spPr>
            <a:ln w="25400" cap="rnd">
              <a:solidFill>
                <a:schemeClr val="tx2"/>
              </a:solidFill>
              <a:round/>
            </a:ln>
            <a:effectLst/>
          </c:spPr>
          <c:marker>
            <c:symbol val="none"/>
          </c:marker>
          <c:cat>
            <c:numRef>
              <c:f>Sheet2!$A$2:$A$232</c:f>
              <c:numCache>
                <c:formatCode>"$"#,##0_);[Red]\("$"#,##0\)</c:formatCode>
                <c:ptCount val="23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pt idx="173">
                  <c:v>91500</c:v>
                </c:pt>
                <c:pt idx="174">
                  <c:v>92000</c:v>
                </c:pt>
                <c:pt idx="175">
                  <c:v>92500</c:v>
                </c:pt>
                <c:pt idx="176">
                  <c:v>93000</c:v>
                </c:pt>
                <c:pt idx="177">
                  <c:v>93500</c:v>
                </c:pt>
                <c:pt idx="178">
                  <c:v>94000</c:v>
                </c:pt>
                <c:pt idx="179">
                  <c:v>94500</c:v>
                </c:pt>
                <c:pt idx="180">
                  <c:v>95000</c:v>
                </c:pt>
                <c:pt idx="181">
                  <c:v>95500</c:v>
                </c:pt>
                <c:pt idx="182">
                  <c:v>96000</c:v>
                </c:pt>
                <c:pt idx="183">
                  <c:v>96500</c:v>
                </c:pt>
                <c:pt idx="184">
                  <c:v>97000</c:v>
                </c:pt>
                <c:pt idx="185">
                  <c:v>97500</c:v>
                </c:pt>
                <c:pt idx="186">
                  <c:v>98000</c:v>
                </c:pt>
                <c:pt idx="187">
                  <c:v>98500</c:v>
                </c:pt>
                <c:pt idx="188">
                  <c:v>99000</c:v>
                </c:pt>
                <c:pt idx="189">
                  <c:v>99500</c:v>
                </c:pt>
                <c:pt idx="190">
                  <c:v>100000</c:v>
                </c:pt>
                <c:pt idx="191">
                  <c:v>100500</c:v>
                </c:pt>
                <c:pt idx="192">
                  <c:v>101000</c:v>
                </c:pt>
                <c:pt idx="193">
                  <c:v>101500</c:v>
                </c:pt>
                <c:pt idx="194">
                  <c:v>102000</c:v>
                </c:pt>
                <c:pt idx="195">
                  <c:v>102500</c:v>
                </c:pt>
                <c:pt idx="196">
                  <c:v>103000</c:v>
                </c:pt>
                <c:pt idx="197">
                  <c:v>103500</c:v>
                </c:pt>
                <c:pt idx="198">
                  <c:v>104000</c:v>
                </c:pt>
                <c:pt idx="199">
                  <c:v>104500</c:v>
                </c:pt>
                <c:pt idx="200">
                  <c:v>105000</c:v>
                </c:pt>
                <c:pt idx="201">
                  <c:v>105500</c:v>
                </c:pt>
                <c:pt idx="202">
                  <c:v>106000</c:v>
                </c:pt>
                <c:pt idx="203">
                  <c:v>106500</c:v>
                </c:pt>
                <c:pt idx="204">
                  <c:v>107000</c:v>
                </c:pt>
                <c:pt idx="205">
                  <c:v>107500</c:v>
                </c:pt>
                <c:pt idx="206">
                  <c:v>108000</c:v>
                </c:pt>
                <c:pt idx="207">
                  <c:v>108500</c:v>
                </c:pt>
                <c:pt idx="208">
                  <c:v>109000</c:v>
                </c:pt>
                <c:pt idx="209">
                  <c:v>109500</c:v>
                </c:pt>
                <c:pt idx="210">
                  <c:v>110000</c:v>
                </c:pt>
                <c:pt idx="211">
                  <c:v>110500</c:v>
                </c:pt>
                <c:pt idx="212">
                  <c:v>111000</c:v>
                </c:pt>
                <c:pt idx="213">
                  <c:v>111500</c:v>
                </c:pt>
                <c:pt idx="214">
                  <c:v>112000</c:v>
                </c:pt>
                <c:pt idx="215">
                  <c:v>112500</c:v>
                </c:pt>
                <c:pt idx="216">
                  <c:v>113000</c:v>
                </c:pt>
                <c:pt idx="217">
                  <c:v>113500</c:v>
                </c:pt>
                <c:pt idx="218">
                  <c:v>114000</c:v>
                </c:pt>
                <c:pt idx="219">
                  <c:v>114500</c:v>
                </c:pt>
                <c:pt idx="220">
                  <c:v>115000</c:v>
                </c:pt>
                <c:pt idx="221">
                  <c:v>115500</c:v>
                </c:pt>
                <c:pt idx="222">
                  <c:v>116000</c:v>
                </c:pt>
                <c:pt idx="223">
                  <c:v>116500</c:v>
                </c:pt>
                <c:pt idx="224">
                  <c:v>117000</c:v>
                </c:pt>
                <c:pt idx="225">
                  <c:v>117500</c:v>
                </c:pt>
                <c:pt idx="226">
                  <c:v>118000</c:v>
                </c:pt>
                <c:pt idx="227">
                  <c:v>118500</c:v>
                </c:pt>
                <c:pt idx="228">
                  <c:v>119000</c:v>
                </c:pt>
                <c:pt idx="229">
                  <c:v>119500</c:v>
                </c:pt>
                <c:pt idx="230">
                  <c:v>120000</c:v>
                </c:pt>
              </c:numCache>
            </c:numRef>
          </c:cat>
          <c:val>
            <c:numRef>
              <c:f>Sheet2!$D$2:$D$232</c:f>
              <c:numCache>
                <c:formatCode>"$"#,##0</c:formatCode>
                <c:ptCount val="231"/>
                <c:pt idx="0">
                  <c:v>6934.431592261938</c:v>
                </c:pt>
                <c:pt idx="1">
                  <c:v>6934.431592261938</c:v>
                </c:pt>
                <c:pt idx="2">
                  <c:v>6934.431592261938</c:v>
                </c:pt>
                <c:pt idx="3">
                  <c:v>6934.431592261938</c:v>
                </c:pt>
                <c:pt idx="4">
                  <c:v>6934.431592261938</c:v>
                </c:pt>
                <c:pt idx="5">
                  <c:v>6934.431592261938</c:v>
                </c:pt>
                <c:pt idx="6">
                  <c:v>6934.431592261938</c:v>
                </c:pt>
                <c:pt idx="7">
                  <c:v>6934.431592261938</c:v>
                </c:pt>
                <c:pt idx="8">
                  <c:v>6952.2300236097526</c:v>
                </c:pt>
                <c:pt idx="9">
                  <c:v>7191.0721980932485</c:v>
                </c:pt>
                <c:pt idx="10">
                  <c:v>7701.2334745977087</c:v>
                </c:pt>
                <c:pt idx="11">
                  <c:v>8449.2583345788862</c:v>
                </c:pt>
                <c:pt idx="12">
                  <c:v>9434.0068010108589</c:v>
                </c:pt>
                <c:pt idx="13">
                  <c:v>10628.433010498295</c:v>
                </c:pt>
                <c:pt idx="14">
                  <c:v>12020.39264139113</c:v>
                </c:pt>
                <c:pt idx="15">
                  <c:v>13598.196059592228</c:v>
                </c:pt>
                <c:pt idx="16">
                  <c:v>15350.308121726346</c:v>
                </c:pt>
                <c:pt idx="17">
                  <c:v>17265.338043308388</c:v>
                </c:pt>
                <c:pt idx="18">
                  <c:v>19337.294612524223</c:v>
                </c:pt>
                <c:pt idx="19">
                  <c:v>21561.035609826453</c:v>
                </c:pt>
                <c:pt idx="20">
                  <c:v>23918.147296646326</c:v>
                </c:pt>
                <c:pt idx="21">
                  <c:v>26410.614705370343</c:v>
                </c:pt>
                <c:pt idx="22">
                  <c:v>29028.682853749648</c:v>
                </c:pt>
                <c:pt idx="23">
                  <c:v>31766.424788327397</c:v>
                </c:pt>
                <c:pt idx="24">
                  <c:v>34616.510023447496</c:v>
                </c:pt>
                <c:pt idx="25">
                  <c:v>37581.689241525062</c:v>
                </c:pt>
                <c:pt idx="26">
                  <c:v>40644.492912497721</c:v>
                </c:pt>
                <c:pt idx="27">
                  <c:v>43810.407377078969</c:v>
                </c:pt>
                <c:pt idx="28">
                  <c:v>47076.613455937812</c:v>
                </c:pt>
                <c:pt idx="29">
                  <c:v>50431.545225002505</c:v>
                </c:pt>
                <c:pt idx="30">
                  <c:v>53872.831865869608</c:v>
                </c:pt>
                <c:pt idx="31">
                  <c:v>57398.117941179051</c:v>
                </c:pt>
                <c:pt idx="32">
                  <c:v>60936.510812605156</c:v>
                </c:pt>
                <c:pt idx="33">
                  <c:v>64474.90368403116</c:v>
                </c:pt>
                <c:pt idx="34">
                  <c:v>68013.296555457171</c:v>
                </c:pt>
                <c:pt idx="35">
                  <c:v>71551.689426883269</c:v>
                </c:pt>
                <c:pt idx="36">
                  <c:v>75090.082298309222</c:v>
                </c:pt>
                <c:pt idx="37">
                  <c:v>78628.475169735291</c:v>
                </c:pt>
                <c:pt idx="38">
                  <c:v>82166.868041161331</c:v>
                </c:pt>
                <c:pt idx="39">
                  <c:v>85705.260912587386</c:v>
                </c:pt>
                <c:pt idx="40">
                  <c:v>87324.585880454993</c:v>
                </c:pt>
                <c:pt idx="41">
                  <c:v>88663.428422698402</c:v>
                </c:pt>
                <c:pt idx="42">
                  <c:v>89954.657180266484</c:v>
                </c:pt>
                <c:pt idx="43">
                  <c:v>91214.821780411396</c:v>
                </c:pt>
                <c:pt idx="44">
                  <c:v>92444.973301299266</c:v>
                </c:pt>
                <c:pt idx="45">
                  <c:v>93634.000109206041</c:v>
                </c:pt>
                <c:pt idx="46">
                  <c:v>94804.365288807574</c:v>
                </c:pt>
                <c:pt idx="47">
                  <c:v>95929.897231122595</c:v>
                </c:pt>
                <c:pt idx="48">
                  <c:v>97041.775660804182</c:v>
                </c:pt>
                <c:pt idx="49">
                  <c:v>98111.564453269428</c:v>
                </c:pt>
                <c:pt idx="50">
                  <c:v>99166.264970007556</c:v>
                </c:pt>
                <c:pt idx="51">
                  <c:v>100188.17731342043</c:v>
                </c:pt>
                <c:pt idx="52">
                  <c:v>101187.01856315215</c:v>
                </c:pt>
                <c:pt idx="53">
                  <c:v>102169.04252963573</c:v>
                </c:pt>
                <c:pt idx="54">
                  <c:v>103113.35354475961</c:v>
                </c:pt>
                <c:pt idx="55">
                  <c:v>104057.6645598834</c:v>
                </c:pt>
                <c:pt idx="56">
                  <c:v>104954.72595270677</c:v>
                </c:pt>
                <c:pt idx="57">
                  <c:v>105845.84674418547</c:v>
                </c:pt>
                <c:pt idx="58">
                  <c:v>106720.73815316845</c:v>
                </c:pt>
                <c:pt idx="59">
                  <c:v>107560.02031769742</c:v>
                </c:pt>
                <c:pt idx="60">
                  <c:v>108399.30248222637</c:v>
                </c:pt>
                <c:pt idx="61">
                  <c:v>109209.95380548228</c:v>
                </c:pt>
                <c:pt idx="62">
                  <c:v>109998.761148202</c:v>
                </c:pt>
                <c:pt idx="63">
                  <c:v>110787.56849092172</c:v>
                </c:pt>
                <c:pt idx="64">
                  <c:v>111545.28735247646</c:v>
                </c:pt>
                <c:pt idx="65">
                  <c:v>112284.99652572063</c:v>
                </c:pt>
                <c:pt idx="66">
                  <c:v>113024.70569896478</c:v>
                </c:pt>
                <c:pt idx="67">
                  <c:v>113740.99729206991</c:v>
                </c:pt>
                <c:pt idx="68">
                  <c:v>114432.99845065574</c:v>
                </c:pt>
                <c:pt idx="69">
                  <c:v>115124.9996092416</c:v>
                </c:pt>
                <c:pt idx="70">
                  <c:v>115811.57708387103</c:v>
                </c:pt>
                <c:pt idx="71">
                  <c:v>116457.27455745358</c:v>
                </c:pt>
                <c:pt idx="72">
                  <c:v>117102.97203103612</c:v>
                </c:pt>
                <c:pt idx="73">
                  <c:v>117748.66950461861</c:v>
                </c:pt>
                <c:pt idx="74">
                  <c:v>118372.58019655346</c:v>
                </c:pt>
                <c:pt idx="75">
                  <c:v>118973.39317958026</c:v>
                </c:pt>
                <c:pt idx="76">
                  <c:v>119574.20616260709</c:v>
                </c:pt>
                <c:pt idx="77">
                  <c:v>120175.01914563387</c:v>
                </c:pt>
                <c:pt idx="78">
                  <c:v>120751.29415605076</c:v>
                </c:pt>
                <c:pt idx="79">
                  <c:v>121308.65741587026</c:v>
                </c:pt>
                <c:pt idx="80">
                  <c:v>121866.02067568971</c:v>
                </c:pt>
                <c:pt idx="81">
                  <c:v>122423.38393550921</c:v>
                </c:pt>
                <c:pt idx="82">
                  <c:v>122967.34442524404</c:v>
                </c:pt>
                <c:pt idx="83">
                  <c:v>123482.70902893592</c:v>
                </c:pt>
                <c:pt idx="84">
                  <c:v>123998.07363262773</c:v>
                </c:pt>
                <c:pt idx="85">
                  <c:v>124513.43823631956</c:v>
                </c:pt>
                <c:pt idx="86">
                  <c:v>125028.80284001141</c:v>
                </c:pt>
                <c:pt idx="87">
                  <c:v>125515.54426061946</c:v>
                </c:pt>
                <c:pt idx="88">
                  <c:v>125990.37832113368</c:v>
                </c:pt>
                <c:pt idx="89">
                  <c:v>126465.21238164796</c:v>
                </c:pt>
                <c:pt idx="90">
                  <c:v>126940.04644216223</c:v>
                </c:pt>
                <c:pt idx="91">
                  <c:v>127414.88050267647</c:v>
                </c:pt>
                <c:pt idx="92">
                  <c:v>127863.32078893681</c:v>
                </c:pt>
                <c:pt idx="93">
                  <c:v>128299.11023114437</c:v>
                </c:pt>
                <c:pt idx="94">
                  <c:v>128734.89967335195</c:v>
                </c:pt>
                <c:pt idx="95">
                  <c:v>129170.68911555949</c:v>
                </c:pt>
                <c:pt idx="96">
                  <c:v>129606.47855776707</c:v>
                </c:pt>
                <c:pt idx="97">
                  <c:v>130035.92728627825</c:v>
                </c:pt>
                <c:pt idx="98">
                  <c:v>130434.17663355416</c:v>
                </c:pt>
                <c:pt idx="99">
                  <c:v>130832.42598083013</c:v>
                </c:pt>
                <c:pt idx="100">
                  <c:v>131230.67532810607</c:v>
                </c:pt>
                <c:pt idx="101">
                  <c:v>131628.92467538203</c:v>
                </c:pt>
                <c:pt idx="102">
                  <c:v>132027.17402265791</c:v>
                </c:pt>
                <c:pt idx="103">
                  <c:v>132421.33575117608</c:v>
                </c:pt>
                <c:pt idx="104">
                  <c:v>132783.56893315513</c:v>
                </c:pt>
                <c:pt idx="105">
                  <c:v>133145.80211513414</c:v>
                </c:pt>
                <c:pt idx="106">
                  <c:v>133508.03529711315</c:v>
                </c:pt>
                <c:pt idx="107">
                  <c:v>133870.26847909216</c:v>
                </c:pt>
                <c:pt idx="108">
                  <c:v>134232.50166107126</c:v>
                </c:pt>
                <c:pt idx="109">
                  <c:v>134594.73484305028</c:v>
                </c:pt>
                <c:pt idx="110">
                  <c:v>134942.37792225418</c:v>
                </c:pt>
                <c:pt idx="111">
                  <c:v>135270.13910441694</c:v>
                </c:pt>
                <c:pt idx="112">
                  <c:v>135597.90028657977</c:v>
                </c:pt>
                <c:pt idx="113">
                  <c:v>135925.66146874256</c:v>
                </c:pt>
                <c:pt idx="114">
                  <c:v>136253.42265090533</c:v>
                </c:pt>
                <c:pt idx="115">
                  <c:v>136581.18383306812</c:v>
                </c:pt>
                <c:pt idx="116">
                  <c:v>136908.94501523089</c:v>
                </c:pt>
                <c:pt idx="117">
                  <c:v>137236.70619739368</c:v>
                </c:pt>
                <c:pt idx="118">
                  <c:v>137531.810117274</c:v>
                </c:pt>
                <c:pt idx="119">
                  <c:v>137826.66455304218</c:v>
                </c:pt>
                <c:pt idx="120">
                  <c:v>138121.51898881033</c:v>
                </c:pt>
                <c:pt idx="121">
                  <c:v>138416.37342457852</c:v>
                </c:pt>
                <c:pt idx="122">
                  <c:v>138711.2278603467</c:v>
                </c:pt>
                <c:pt idx="123">
                  <c:v>139006.08229611482</c:v>
                </c:pt>
                <c:pt idx="124">
                  <c:v>139300.936731883</c:v>
                </c:pt>
                <c:pt idx="125">
                  <c:v>139595.79116765116</c:v>
                </c:pt>
                <c:pt idx="126">
                  <c:v>139869.02287948568</c:v>
                </c:pt>
                <c:pt idx="127">
                  <c:v>140132.55778552371</c:v>
                </c:pt>
                <c:pt idx="128">
                  <c:v>140396.09269156176</c:v>
                </c:pt>
                <c:pt idx="129">
                  <c:v>140659.62759759981</c:v>
                </c:pt>
                <c:pt idx="130">
                  <c:v>140923.16250363787</c:v>
                </c:pt>
                <c:pt idx="131">
                  <c:v>141186.69740967589</c:v>
                </c:pt>
                <c:pt idx="132">
                  <c:v>141450.23231571398</c:v>
                </c:pt>
                <c:pt idx="133">
                  <c:v>141713.767221752</c:v>
                </c:pt>
                <c:pt idx="134">
                  <c:v>141977.30212779003</c:v>
                </c:pt>
                <c:pt idx="135">
                  <c:v>142230.32344834134</c:v>
                </c:pt>
                <c:pt idx="136">
                  <c:v>142464.14890378434</c:v>
                </c:pt>
                <c:pt idx="137">
                  <c:v>142697.97435922732</c:v>
                </c:pt>
                <c:pt idx="138">
                  <c:v>142931.79981467029</c:v>
                </c:pt>
                <c:pt idx="139">
                  <c:v>143165.62527011323</c:v>
                </c:pt>
                <c:pt idx="140">
                  <c:v>143399.45072555621</c:v>
                </c:pt>
                <c:pt idx="141">
                  <c:v>143633.27618099918</c:v>
                </c:pt>
                <c:pt idx="142">
                  <c:v>143867.10163644218</c:v>
                </c:pt>
                <c:pt idx="143">
                  <c:v>144100.92709188515</c:v>
                </c:pt>
                <c:pt idx="144">
                  <c:v>144334.7525473281</c:v>
                </c:pt>
                <c:pt idx="145">
                  <c:v>144568.5780027711</c:v>
                </c:pt>
                <c:pt idx="146">
                  <c:v>144780.61520992851</c:v>
                </c:pt>
                <c:pt idx="147">
                  <c:v>144986.36508027569</c:v>
                </c:pt>
                <c:pt idx="148">
                  <c:v>145192.11495062281</c:v>
                </c:pt>
                <c:pt idx="149">
                  <c:v>145397.8648209699</c:v>
                </c:pt>
                <c:pt idx="150">
                  <c:v>145603.61469131705</c:v>
                </c:pt>
                <c:pt idx="151">
                  <c:v>145809.36456166417</c:v>
                </c:pt>
                <c:pt idx="152">
                  <c:v>146015.11443201132</c:v>
                </c:pt>
                <c:pt idx="153">
                  <c:v>146220.86430235842</c:v>
                </c:pt>
                <c:pt idx="154">
                  <c:v>146426.61417270562</c:v>
                </c:pt>
                <c:pt idx="155">
                  <c:v>146632.36404305272</c:v>
                </c:pt>
                <c:pt idx="156">
                  <c:v>146838.11391339987</c:v>
                </c:pt>
                <c:pt idx="157">
                  <c:v>147043.86378374705</c:v>
                </c:pt>
                <c:pt idx="158">
                  <c:v>147231.35969079047</c:v>
                </c:pt>
                <c:pt idx="159">
                  <c:v>147410.6925772269</c:v>
                </c:pt>
                <c:pt idx="160">
                  <c:v>147590.02546366345</c:v>
                </c:pt>
                <c:pt idx="161">
                  <c:v>147769.35835009988</c:v>
                </c:pt>
                <c:pt idx="162">
                  <c:v>147948.6912365364</c:v>
                </c:pt>
                <c:pt idx="163">
                  <c:v>148128.02412297289</c:v>
                </c:pt>
                <c:pt idx="164">
                  <c:v>148307.3570094094</c:v>
                </c:pt>
                <c:pt idx="165">
                  <c:v>148486.68989584586</c:v>
                </c:pt>
                <c:pt idx="166">
                  <c:v>148666.02278228235</c:v>
                </c:pt>
                <c:pt idx="167">
                  <c:v>148845.35566871881</c:v>
                </c:pt>
                <c:pt idx="168">
                  <c:v>149024.68855515527</c:v>
                </c:pt>
                <c:pt idx="169">
                  <c:v>149204.02144159179</c:v>
                </c:pt>
                <c:pt idx="170">
                  <c:v>149383.35432802828</c:v>
                </c:pt>
                <c:pt idx="171">
                  <c:v>149562.68721446476</c:v>
                </c:pt>
                <c:pt idx="172">
                  <c:v>149723.44749751448</c:v>
                </c:pt>
                <c:pt idx="173">
                  <c:v>149878.04771244631</c:v>
                </c:pt>
                <c:pt idx="174">
                  <c:v>150032.6479273781</c:v>
                </c:pt>
                <c:pt idx="175">
                  <c:v>150187.24814230984</c:v>
                </c:pt>
                <c:pt idx="176">
                  <c:v>150341.84835724166</c:v>
                </c:pt>
                <c:pt idx="177">
                  <c:v>150496.44857217342</c:v>
                </c:pt>
                <c:pt idx="178">
                  <c:v>150651.04878710525</c:v>
                </c:pt>
                <c:pt idx="179">
                  <c:v>150805.64900203707</c:v>
                </c:pt>
                <c:pt idx="180">
                  <c:v>150960.2492169688</c:v>
                </c:pt>
                <c:pt idx="181">
                  <c:v>151114.84943190066</c:v>
                </c:pt>
                <c:pt idx="182">
                  <c:v>151269.44964683245</c:v>
                </c:pt>
                <c:pt idx="183">
                  <c:v>151424.04986176424</c:v>
                </c:pt>
                <c:pt idx="184">
                  <c:v>151578.65007669604</c:v>
                </c:pt>
                <c:pt idx="185">
                  <c:v>151733.2502916278</c:v>
                </c:pt>
                <c:pt idx="186">
                  <c:v>151887.85050655963</c:v>
                </c:pt>
                <c:pt idx="187">
                  <c:v>152042.45072149142</c:v>
                </c:pt>
                <c:pt idx="188">
                  <c:v>152185.71973211507</c:v>
                </c:pt>
                <c:pt idx="189">
                  <c:v>152317.29830172495</c:v>
                </c:pt>
                <c:pt idx="190">
                  <c:v>152448.87687133477</c:v>
                </c:pt>
                <c:pt idx="191">
                  <c:v>152580.45544094461</c:v>
                </c:pt>
                <c:pt idx="192">
                  <c:v>152712.0340105544</c:v>
                </c:pt>
                <c:pt idx="193">
                  <c:v>152843.61258016428</c:v>
                </c:pt>
                <c:pt idx="194">
                  <c:v>152975.19114977409</c:v>
                </c:pt>
                <c:pt idx="195">
                  <c:v>153106.76971938391</c:v>
                </c:pt>
                <c:pt idx="196">
                  <c:v>153238.34828899376</c:v>
                </c:pt>
                <c:pt idx="197">
                  <c:v>153369.92685860355</c:v>
                </c:pt>
                <c:pt idx="198">
                  <c:v>153501.50542821345</c:v>
                </c:pt>
                <c:pt idx="199">
                  <c:v>153633.08399782321</c:v>
                </c:pt>
                <c:pt idx="200">
                  <c:v>153764.66256743306</c:v>
                </c:pt>
                <c:pt idx="201">
                  <c:v>153896.2411370429</c:v>
                </c:pt>
                <c:pt idx="202">
                  <c:v>154027.81970665269</c:v>
                </c:pt>
                <c:pt idx="203">
                  <c:v>154159.39827626254</c:v>
                </c:pt>
                <c:pt idx="204">
                  <c:v>154290.97684587236</c:v>
                </c:pt>
                <c:pt idx="205">
                  <c:v>154422.5554154822</c:v>
                </c:pt>
                <c:pt idx="206">
                  <c:v>154554.13398509202</c:v>
                </c:pt>
                <c:pt idx="207">
                  <c:v>154679.70040933249</c:v>
                </c:pt>
                <c:pt idx="208">
                  <c:v>154789.99610398925</c:v>
                </c:pt>
                <c:pt idx="209">
                  <c:v>154900.29179864598</c:v>
                </c:pt>
                <c:pt idx="210">
                  <c:v>155010.58749330277</c:v>
                </c:pt>
                <c:pt idx="211">
                  <c:v>155120.88318795952</c:v>
                </c:pt>
                <c:pt idx="212">
                  <c:v>155231.17888261634</c:v>
                </c:pt>
                <c:pt idx="213">
                  <c:v>155341.47457727307</c:v>
                </c:pt>
                <c:pt idx="214">
                  <c:v>155451.7702719298</c:v>
                </c:pt>
                <c:pt idx="215">
                  <c:v>155562.06596658658</c:v>
                </c:pt>
                <c:pt idx="216">
                  <c:v>155672.36166124331</c:v>
                </c:pt>
                <c:pt idx="217">
                  <c:v>155782.6573559001</c:v>
                </c:pt>
                <c:pt idx="218">
                  <c:v>155892.95305055685</c:v>
                </c:pt>
                <c:pt idx="219">
                  <c:v>156003.24874521358</c:v>
                </c:pt>
                <c:pt idx="220">
                  <c:v>156113.5444398704</c:v>
                </c:pt>
                <c:pt idx="221">
                  <c:v>156223.84013452716</c:v>
                </c:pt>
                <c:pt idx="222">
                  <c:v>156334.13582918394</c:v>
                </c:pt>
                <c:pt idx="223">
                  <c:v>156444.43152384064</c:v>
                </c:pt>
                <c:pt idx="224">
                  <c:v>156554.7272184974</c:v>
                </c:pt>
                <c:pt idx="225">
                  <c:v>156665.02291315419</c:v>
                </c:pt>
                <c:pt idx="226">
                  <c:v>156775.31860781097</c:v>
                </c:pt>
                <c:pt idx="227">
                  <c:v>156885.6143024677</c:v>
                </c:pt>
                <c:pt idx="228">
                  <c:v>156995.90999712446</c:v>
                </c:pt>
                <c:pt idx="229">
                  <c:v>157106.20569178127</c:v>
                </c:pt>
                <c:pt idx="230">
                  <c:v>157211.88446865394</c:v>
                </c:pt>
              </c:numCache>
            </c:numRef>
          </c:val>
          <c:smooth val="0"/>
          <c:extLst>
            <c:ext xmlns:c16="http://schemas.microsoft.com/office/drawing/2014/chart" uri="{C3380CC4-5D6E-409C-BE32-E72D297353CC}">
              <c16:uniqueId val="{00000001-9013-41C7-A390-77141F03626B}"/>
            </c:ext>
          </c:extLst>
        </c:ser>
        <c:dLbls>
          <c:showLegendKey val="0"/>
          <c:showVal val="0"/>
          <c:showCatName val="0"/>
          <c:showSerName val="0"/>
          <c:showPercent val="0"/>
          <c:showBubbleSize val="0"/>
        </c:dLbls>
        <c:marker val="1"/>
        <c:smooth val="0"/>
        <c:axId val="43731360"/>
        <c:axId val="398422240"/>
      </c:lineChart>
      <c:lineChart>
        <c:grouping val="standard"/>
        <c:varyColors val="0"/>
        <c:ser>
          <c:idx val="5"/>
          <c:order val="3"/>
          <c:tx>
            <c:strRef>
              <c:f>Sheet2!$E$1</c:f>
              <c:strCache>
                <c:ptCount val="1"/>
                <c:pt idx="0">
                  <c:v>Standard (10 Years)</c:v>
                </c:pt>
              </c:strCache>
            </c:strRef>
          </c:tx>
          <c:spPr>
            <a:ln w="28575" cap="rnd">
              <a:solidFill>
                <a:schemeClr val="accent6"/>
              </a:solidFill>
              <a:round/>
            </a:ln>
            <a:effectLst/>
          </c:spPr>
          <c:marker>
            <c:symbol val="none"/>
          </c:marker>
          <c:cat>
            <c:numRef>
              <c:f>Sheet2!$A$2:$A$232</c:f>
              <c:numCache>
                <c:formatCode>"$"#,##0_);[Red]\("$"#,##0\)</c:formatCode>
                <c:ptCount val="23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pt idx="173">
                  <c:v>91500</c:v>
                </c:pt>
                <c:pt idx="174">
                  <c:v>92000</c:v>
                </c:pt>
                <c:pt idx="175">
                  <c:v>92500</c:v>
                </c:pt>
                <c:pt idx="176">
                  <c:v>93000</c:v>
                </c:pt>
                <c:pt idx="177">
                  <c:v>93500</c:v>
                </c:pt>
                <c:pt idx="178">
                  <c:v>94000</c:v>
                </c:pt>
                <c:pt idx="179">
                  <c:v>94500</c:v>
                </c:pt>
                <c:pt idx="180">
                  <c:v>95000</c:v>
                </c:pt>
                <c:pt idx="181">
                  <c:v>95500</c:v>
                </c:pt>
                <c:pt idx="182">
                  <c:v>96000</c:v>
                </c:pt>
                <c:pt idx="183">
                  <c:v>96500</c:v>
                </c:pt>
                <c:pt idx="184">
                  <c:v>97000</c:v>
                </c:pt>
                <c:pt idx="185">
                  <c:v>97500</c:v>
                </c:pt>
                <c:pt idx="186">
                  <c:v>98000</c:v>
                </c:pt>
                <c:pt idx="187">
                  <c:v>98500</c:v>
                </c:pt>
                <c:pt idx="188">
                  <c:v>99000</c:v>
                </c:pt>
                <c:pt idx="189">
                  <c:v>99500</c:v>
                </c:pt>
                <c:pt idx="190">
                  <c:v>100000</c:v>
                </c:pt>
                <c:pt idx="191">
                  <c:v>100500</c:v>
                </c:pt>
                <c:pt idx="192">
                  <c:v>101000</c:v>
                </c:pt>
                <c:pt idx="193">
                  <c:v>101500</c:v>
                </c:pt>
                <c:pt idx="194">
                  <c:v>102000</c:v>
                </c:pt>
                <c:pt idx="195">
                  <c:v>102500</c:v>
                </c:pt>
                <c:pt idx="196">
                  <c:v>103000</c:v>
                </c:pt>
                <c:pt idx="197">
                  <c:v>103500</c:v>
                </c:pt>
                <c:pt idx="198">
                  <c:v>104000</c:v>
                </c:pt>
                <c:pt idx="199">
                  <c:v>104500</c:v>
                </c:pt>
                <c:pt idx="200">
                  <c:v>105000</c:v>
                </c:pt>
                <c:pt idx="201">
                  <c:v>105500</c:v>
                </c:pt>
                <c:pt idx="202">
                  <c:v>106000</c:v>
                </c:pt>
                <c:pt idx="203">
                  <c:v>106500</c:v>
                </c:pt>
                <c:pt idx="204">
                  <c:v>107000</c:v>
                </c:pt>
                <c:pt idx="205">
                  <c:v>107500</c:v>
                </c:pt>
                <c:pt idx="206">
                  <c:v>108000</c:v>
                </c:pt>
                <c:pt idx="207">
                  <c:v>108500</c:v>
                </c:pt>
                <c:pt idx="208">
                  <c:v>109000</c:v>
                </c:pt>
                <c:pt idx="209">
                  <c:v>109500</c:v>
                </c:pt>
                <c:pt idx="210">
                  <c:v>110000</c:v>
                </c:pt>
                <c:pt idx="211">
                  <c:v>110500</c:v>
                </c:pt>
                <c:pt idx="212">
                  <c:v>111000</c:v>
                </c:pt>
                <c:pt idx="213">
                  <c:v>111500</c:v>
                </c:pt>
                <c:pt idx="214">
                  <c:v>112000</c:v>
                </c:pt>
                <c:pt idx="215">
                  <c:v>112500</c:v>
                </c:pt>
                <c:pt idx="216">
                  <c:v>113000</c:v>
                </c:pt>
                <c:pt idx="217">
                  <c:v>113500</c:v>
                </c:pt>
                <c:pt idx="218">
                  <c:v>114000</c:v>
                </c:pt>
                <c:pt idx="219">
                  <c:v>114500</c:v>
                </c:pt>
                <c:pt idx="220">
                  <c:v>115000</c:v>
                </c:pt>
                <c:pt idx="221">
                  <c:v>115500</c:v>
                </c:pt>
                <c:pt idx="222">
                  <c:v>116000</c:v>
                </c:pt>
                <c:pt idx="223">
                  <c:v>116500</c:v>
                </c:pt>
                <c:pt idx="224">
                  <c:v>117000</c:v>
                </c:pt>
                <c:pt idx="225">
                  <c:v>117500</c:v>
                </c:pt>
                <c:pt idx="226">
                  <c:v>118000</c:v>
                </c:pt>
                <c:pt idx="227">
                  <c:v>118500</c:v>
                </c:pt>
                <c:pt idx="228">
                  <c:v>119000</c:v>
                </c:pt>
                <c:pt idx="229">
                  <c:v>119500</c:v>
                </c:pt>
                <c:pt idx="230">
                  <c:v>120000</c:v>
                </c:pt>
              </c:numCache>
            </c:numRef>
          </c:cat>
          <c:val>
            <c:numRef>
              <c:f>Sheet2!$E$2:$E$232</c:f>
              <c:numCache>
                <c:formatCode>"$"#,##0</c:formatCode>
                <c:ptCount val="231"/>
                <c:pt idx="0">
                  <c:v>158819.43691361806</c:v>
                </c:pt>
                <c:pt idx="1">
                  <c:v>158819.43691361806</c:v>
                </c:pt>
                <c:pt idx="2">
                  <c:v>158819.43691361806</c:v>
                </c:pt>
                <c:pt idx="3">
                  <c:v>158819.43691361806</c:v>
                </c:pt>
                <c:pt idx="4">
                  <c:v>158819.43691361806</c:v>
                </c:pt>
                <c:pt idx="5">
                  <c:v>158819.43691361806</c:v>
                </c:pt>
                <c:pt idx="6">
                  <c:v>158819.43691361806</c:v>
                </c:pt>
                <c:pt idx="7">
                  <c:v>158819.43691361806</c:v>
                </c:pt>
                <c:pt idx="8">
                  <c:v>158819.43691361806</c:v>
                </c:pt>
                <c:pt idx="9">
                  <c:v>158819.43691361806</c:v>
                </c:pt>
                <c:pt idx="10">
                  <c:v>158819.43691361806</c:v>
                </c:pt>
                <c:pt idx="11">
                  <c:v>158819.43691361806</c:v>
                </c:pt>
                <c:pt idx="12">
                  <c:v>158819.43691361806</c:v>
                </c:pt>
                <c:pt idx="13">
                  <c:v>158819.43691361806</c:v>
                </c:pt>
                <c:pt idx="14">
                  <c:v>158819.43691361806</c:v>
                </c:pt>
                <c:pt idx="15">
                  <c:v>158819.43691361806</c:v>
                </c:pt>
                <c:pt idx="16">
                  <c:v>158819.43691361806</c:v>
                </c:pt>
                <c:pt idx="17">
                  <c:v>158819.43691361806</c:v>
                </c:pt>
                <c:pt idx="18">
                  <c:v>158819.43691361806</c:v>
                </c:pt>
                <c:pt idx="19">
                  <c:v>158819.43691361806</c:v>
                </c:pt>
                <c:pt idx="20">
                  <c:v>158819.43691361806</c:v>
                </c:pt>
                <c:pt idx="21">
                  <c:v>158819.43691361806</c:v>
                </c:pt>
                <c:pt idx="22">
                  <c:v>158819.43691361806</c:v>
                </c:pt>
                <c:pt idx="23">
                  <c:v>158819.43691361806</c:v>
                </c:pt>
                <c:pt idx="24">
                  <c:v>158819.43691361806</c:v>
                </c:pt>
                <c:pt idx="25">
                  <c:v>158819.43691361806</c:v>
                </c:pt>
                <c:pt idx="26">
                  <c:v>158819.43691361806</c:v>
                </c:pt>
                <c:pt idx="27">
                  <c:v>158819.43691361806</c:v>
                </c:pt>
                <c:pt idx="28">
                  <c:v>158819.43691361806</c:v>
                </c:pt>
                <c:pt idx="29">
                  <c:v>158819.43691361806</c:v>
                </c:pt>
                <c:pt idx="30">
                  <c:v>158819.43691361806</c:v>
                </c:pt>
                <c:pt idx="31">
                  <c:v>158819.43691361806</c:v>
                </c:pt>
                <c:pt idx="32">
                  <c:v>158819.43691361806</c:v>
                </c:pt>
                <c:pt idx="33">
                  <c:v>158819.43691361806</c:v>
                </c:pt>
                <c:pt idx="34">
                  <c:v>158819.43691361806</c:v>
                </c:pt>
                <c:pt idx="35">
                  <c:v>158819.43691361806</c:v>
                </c:pt>
                <c:pt idx="36">
                  <c:v>158819.43691361806</c:v>
                </c:pt>
                <c:pt idx="37">
                  <c:v>158819.43691361806</c:v>
                </c:pt>
                <c:pt idx="38">
                  <c:v>158819.43691361806</c:v>
                </c:pt>
                <c:pt idx="39">
                  <c:v>158819.43691361806</c:v>
                </c:pt>
                <c:pt idx="40">
                  <c:v>158819.43691361806</c:v>
                </c:pt>
                <c:pt idx="41">
                  <c:v>158819.43691361806</c:v>
                </c:pt>
                <c:pt idx="42">
                  <c:v>158819.43691361806</c:v>
                </c:pt>
                <c:pt idx="43">
                  <c:v>158819.43691361806</c:v>
                </c:pt>
                <c:pt idx="44">
                  <c:v>158819.43691361806</c:v>
                </c:pt>
                <c:pt idx="45">
                  <c:v>158819.43691361806</c:v>
                </c:pt>
                <c:pt idx="46">
                  <c:v>158819.43691361806</c:v>
                </c:pt>
                <c:pt idx="47">
                  <c:v>158819.43691361806</c:v>
                </c:pt>
                <c:pt idx="48">
                  <c:v>158819.43691361806</c:v>
                </c:pt>
                <c:pt idx="49">
                  <c:v>158819.43691361806</c:v>
                </c:pt>
                <c:pt idx="50">
                  <c:v>158819.43691361806</c:v>
                </c:pt>
                <c:pt idx="51">
                  <c:v>158819.43691361806</c:v>
                </c:pt>
                <c:pt idx="52">
                  <c:v>158819.43691361806</c:v>
                </c:pt>
                <c:pt idx="53">
                  <c:v>158819.43691361806</c:v>
                </c:pt>
                <c:pt idx="54">
                  <c:v>158819.43691361806</c:v>
                </c:pt>
                <c:pt idx="55">
                  <c:v>158819.43691361806</c:v>
                </c:pt>
                <c:pt idx="56">
                  <c:v>158819.43691361806</c:v>
                </c:pt>
                <c:pt idx="57">
                  <c:v>158819.43691361806</c:v>
                </c:pt>
                <c:pt idx="58">
                  <c:v>158819.43691361806</c:v>
                </c:pt>
                <c:pt idx="59">
                  <c:v>158819.43691361806</c:v>
                </c:pt>
                <c:pt idx="60">
                  <c:v>158819.43691361806</c:v>
                </c:pt>
                <c:pt idx="61">
                  <c:v>158819.43691361806</c:v>
                </c:pt>
                <c:pt idx="62">
                  <c:v>158819.43691361806</c:v>
                </c:pt>
                <c:pt idx="63">
                  <c:v>158819.43691361806</c:v>
                </c:pt>
                <c:pt idx="64">
                  <c:v>158819.43691361806</c:v>
                </c:pt>
                <c:pt idx="65">
                  <c:v>158819.43691361806</c:v>
                </c:pt>
                <c:pt idx="66">
                  <c:v>158819.43691361806</c:v>
                </c:pt>
                <c:pt idx="67">
                  <c:v>158819.43691361806</c:v>
                </c:pt>
                <c:pt idx="68">
                  <c:v>158819.43691361806</c:v>
                </c:pt>
                <c:pt idx="69">
                  <c:v>158819.43691361806</c:v>
                </c:pt>
                <c:pt idx="70">
                  <c:v>158819.43691361806</c:v>
                </c:pt>
                <c:pt idx="71">
                  <c:v>158819.43691361806</c:v>
                </c:pt>
                <c:pt idx="72">
                  <c:v>158819.43691361806</c:v>
                </c:pt>
                <c:pt idx="73">
                  <c:v>158819.43691361806</c:v>
                </c:pt>
                <c:pt idx="74">
                  <c:v>158819.43691361806</c:v>
                </c:pt>
                <c:pt idx="75">
                  <c:v>158819.43691361806</c:v>
                </c:pt>
                <c:pt idx="76">
                  <c:v>158819.43691361806</c:v>
                </c:pt>
                <c:pt idx="77">
                  <c:v>158819.43691361806</c:v>
                </c:pt>
                <c:pt idx="78">
                  <c:v>158819.43691361806</c:v>
                </c:pt>
                <c:pt idx="79">
                  <c:v>158819.43691361806</c:v>
                </c:pt>
                <c:pt idx="80">
                  <c:v>158819.43691361806</c:v>
                </c:pt>
                <c:pt idx="81">
                  <c:v>158819.43691361806</c:v>
                </c:pt>
                <c:pt idx="82">
                  <c:v>158819.43691361806</c:v>
                </c:pt>
                <c:pt idx="83">
                  <c:v>158819.43691361806</c:v>
                </c:pt>
                <c:pt idx="84">
                  <c:v>158819.43691361806</c:v>
                </c:pt>
                <c:pt idx="85">
                  <c:v>158819.43691361806</c:v>
                </c:pt>
                <c:pt idx="86">
                  <c:v>158819.43691361806</c:v>
                </c:pt>
                <c:pt idx="87">
                  <c:v>158819.43691361806</c:v>
                </c:pt>
                <c:pt idx="88">
                  <c:v>158819.43691361806</c:v>
                </c:pt>
                <c:pt idx="89">
                  <c:v>158819.43691361806</c:v>
                </c:pt>
                <c:pt idx="90">
                  <c:v>158819.43691361806</c:v>
                </c:pt>
                <c:pt idx="91">
                  <c:v>158819.43691361806</c:v>
                </c:pt>
                <c:pt idx="92">
                  <c:v>158819.43691361806</c:v>
                </c:pt>
                <c:pt idx="93">
                  <c:v>158819.43691361806</c:v>
                </c:pt>
                <c:pt idx="94">
                  <c:v>158819.43691361806</c:v>
                </c:pt>
                <c:pt idx="95">
                  <c:v>158819.43691361806</c:v>
                </c:pt>
                <c:pt idx="96">
                  <c:v>158819.43691361806</c:v>
                </c:pt>
                <c:pt idx="97">
                  <c:v>158819.43691361806</c:v>
                </c:pt>
                <c:pt idx="98">
                  <c:v>158819.43691361806</c:v>
                </c:pt>
                <c:pt idx="99">
                  <c:v>158819.43691361806</c:v>
                </c:pt>
                <c:pt idx="100">
                  <c:v>158819.43691361806</c:v>
                </c:pt>
                <c:pt idx="101">
                  <c:v>158819.43691361806</c:v>
                </c:pt>
                <c:pt idx="102">
                  <c:v>158819.43691361806</c:v>
                </c:pt>
                <c:pt idx="103">
                  <c:v>158819.43691361806</c:v>
                </c:pt>
                <c:pt idx="104">
                  <c:v>158819.43691361806</c:v>
                </c:pt>
                <c:pt idx="105">
                  <c:v>158819.43691361806</c:v>
                </c:pt>
                <c:pt idx="106">
                  <c:v>158819.43691361806</c:v>
                </c:pt>
                <c:pt idx="107">
                  <c:v>158819.43691361806</c:v>
                </c:pt>
                <c:pt idx="108">
                  <c:v>158819.43691361806</c:v>
                </c:pt>
                <c:pt idx="109">
                  <c:v>158819.43691361806</c:v>
                </c:pt>
                <c:pt idx="110">
                  <c:v>158819.43691361806</c:v>
                </c:pt>
                <c:pt idx="111">
                  <c:v>158819.43691361806</c:v>
                </c:pt>
                <c:pt idx="112">
                  <c:v>158819.43691361806</c:v>
                </c:pt>
                <c:pt idx="113">
                  <c:v>158819.43691361806</c:v>
                </c:pt>
                <c:pt idx="114">
                  <c:v>158819.43691361806</c:v>
                </c:pt>
                <c:pt idx="115">
                  <c:v>158819.43691361806</c:v>
                </c:pt>
                <c:pt idx="116">
                  <c:v>158819.43691361806</c:v>
                </c:pt>
                <c:pt idx="117">
                  <c:v>158819.43691361806</c:v>
                </c:pt>
                <c:pt idx="118">
                  <c:v>158819.43691361806</c:v>
                </c:pt>
                <c:pt idx="119">
                  <c:v>158819.43691361806</c:v>
                </c:pt>
                <c:pt idx="120">
                  <c:v>158819.43691361806</c:v>
                </c:pt>
                <c:pt idx="121">
                  <c:v>158819.43691361806</c:v>
                </c:pt>
                <c:pt idx="122">
                  <c:v>158819.43691361806</c:v>
                </c:pt>
                <c:pt idx="123">
                  <c:v>158819.43691361806</c:v>
                </c:pt>
                <c:pt idx="124">
                  <c:v>158819.43691361806</c:v>
                </c:pt>
                <c:pt idx="125">
                  <c:v>158819.43691361806</c:v>
                </c:pt>
                <c:pt idx="126">
                  <c:v>158819.43691361806</c:v>
                </c:pt>
                <c:pt idx="127">
                  <c:v>158819.43691361806</c:v>
                </c:pt>
                <c:pt idx="128">
                  <c:v>158819.43691361806</c:v>
                </c:pt>
                <c:pt idx="129">
                  <c:v>158819.43691361806</c:v>
                </c:pt>
                <c:pt idx="130">
                  <c:v>158819.43691361806</c:v>
                </c:pt>
                <c:pt idx="131">
                  <c:v>158819.43691361806</c:v>
                </c:pt>
                <c:pt idx="132">
                  <c:v>158819.43691361806</c:v>
                </c:pt>
                <c:pt idx="133">
                  <c:v>158819.43691361806</c:v>
                </c:pt>
                <c:pt idx="134">
                  <c:v>158819.43691361806</c:v>
                </c:pt>
                <c:pt idx="135">
                  <c:v>158819.43691361806</c:v>
                </c:pt>
                <c:pt idx="136">
                  <c:v>158819.43691361806</c:v>
                </c:pt>
                <c:pt idx="137">
                  <c:v>158819.43691361806</c:v>
                </c:pt>
                <c:pt idx="138">
                  <c:v>158819.43691361806</c:v>
                </c:pt>
                <c:pt idx="139">
                  <c:v>158819.43691361806</c:v>
                </c:pt>
                <c:pt idx="140">
                  <c:v>158819.43691361806</c:v>
                </c:pt>
                <c:pt idx="141">
                  <c:v>158819.43691361806</c:v>
                </c:pt>
                <c:pt idx="142">
                  <c:v>158819.43691361806</c:v>
                </c:pt>
                <c:pt idx="143">
                  <c:v>158819.43691361806</c:v>
                </c:pt>
                <c:pt idx="144">
                  <c:v>158819.43691361806</c:v>
                </c:pt>
                <c:pt idx="145">
                  <c:v>158819.43691361806</c:v>
                </c:pt>
                <c:pt idx="146">
                  <c:v>158819.43691361806</c:v>
                </c:pt>
                <c:pt idx="147">
                  <c:v>158819.43691361806</c:v>
                </c:pt>
                <c:pt idx="148">
                  <c:v>158819.43691361806</c:v>
                </c:pt>
                <c:pt idx="149">
                  <c:v>158819.43691361806</c:v>
                </c:pt>
                <c:pt idx="150">
                  <c:v>158819.43691361806</c:v>
                </c:pt>
                <c:pt idx="151">
                  <c:v>158819.43691361806</c:v>
                </c:pt>
                <c:pt idx="152">
                  <c:v>158819.43691361806</c:v>
                </c:pt>
                <c:pt idx="153">
                  <c:v>158819.43691361806</c:v>
                </c:pt>
                <c:pt idx="154">
                  <c:v>158819.43691361806</c:v>
                </c:pt>
                <c:pt idx="155">
                  <c:v>158819.43691361806</c:v>
                </c:pt>
                <c:pt idx="156">
                  <c:v>158819.43691361806</c:v>
                </c:pt>
                <c:pt idx="157">
                  <c:v>158819.43691361806</c:v>
                </c:pt>
                <c:pt idx="158">
                  <c:v>158819.43691361806</c:v>
                </c:pt>
                <c:pt idx="159">
                  <c:v>158819.43691361806</c:v>
                </c:pt>
                <c:pt idx="160">
                  <c:v>158819.43691361806</c:v>
                </c:pt>
                <c:pt idx="161">
                  <c:v>158819.43691361806</c:v>
                </c:pt>
                <c:pt idx="162">
                  <c:v>158819.43691361806</c:v>
                </c:pt>
                <c:pt idx="163">
                  <c:v>158819.43691361806</c:v>
                </c:pt>
                <c:pt idx="164">
                  <c:v>158819.43691361806</c:v>
                </c:pt>
                <c:pt idx="165">
                  <c:v>158819.43691361806</c:v>
                </c:pt>
                <c:pt idx="166">
                  <c:v>158819.43691361806</c:v>
                </c:pt>
                <c:pt idx="167">
                  <c:v>158819.43691361806</c:v>
                </c:pt>
                <c:pt idx="168">
                  <c:v>158819.43691361806</c:v>
                </c:pt>
                <c:pt idx="169">
                  <c:v>158819.43691361806</c:v>
                </c:pt>
                <c:pt idx="170">
                  <c:v>158819.43691361806</c:v>
                </c:pt>
                <c:pt idx="171">
                  <c:v>158819.43691361806</c:v>
                </c:pt>
                <c:pt idx="172">
                  <c:v>158819.43691361806</c:v>
                </c:pt>
                <c:pt idx="173">
                  <c:v>158819.43691361806</c:v>
                </c:pt>
                <c:pt idx="174">
                  <c:v>158819.43691361806</c:v>
                </c:pt>
                <c:pt idx="175">
                  <c:v>158819.43691361806</c:v>
                </c:pt>
                <c:pt idx="176">
                  <c:v>158819.43691361806</c:v>
                </c:pt>
                <c:pt idx="177">
                  <c:v>158819.43691361806</c:v>
                </c:pt>
                <c:pt idx="178">
                  <c:v>158819.43691361806</c:v>
                </c:pt>
                <c:pt idx="179">
                  <c:v>158819.43691361806</c:v>
                </c:pt>
                <c:pt idx="180">
                  <c:v>158819.43691361806</c:v>
                </c:pt>
                <c:pt idx="181">
                  <c:v>158819.43691361806</c:v>
                </c:pt>
                <c:pt idx="182">
                  <c:v>158819.43691361806</c:v>
                </c:pt>
                <c:pt idx="183">
                  <c:v>158819.43691361806</c:v>
                </c:pt>
                <c:pt idx="184">
                  <c:v>158819.43691361806</c:v>
                </c:pt>
                <c:pt idx="185">
                  <c:v>158819.43691361806</c:v>
                </c:pt>
                <c:pt idx="186">
                  <c:v>158819.43691361806</c:v>
                </c:pt>
                <c:pt idx="187">
                  <c:v>158819.43691361806</c:v>
                </c:pt>
                <c:pt idx="188">
                  <c:v>158819.43691361806</c:v>
                </c:pt>
                <c:pt idx="189">
                  <c:v>158819.43691361806</c:v>
                </c:pt>
                <c:pt idx="190">
                  <c:v>158819.43691361806</c:v>
                </c:pt>
                <c:pt idx="191">
                  <c:v>158819.43691361806</c:v>
                </c:pt>
                <c:pt idx="192">
                  <c:v>158819.43691361806</c:v>
                </c:pt>
                <c:pt idx="193">
                  <c:v>158819.43691361806</c:v>
                </c:pt>
                <c:pt idx="194">
                  <c:v>158819.43691361806</c:v>
                </c:pt>
                <c:pt idx="195">
                  <c:v>158819.43691361806</c:v>
                </c:pt>
                <c:pt idx="196">
                  <c:v>158819.43691361806</c:v>
                </c:pt>
                <c:pt idx="197">
                  <c:v>158819.43691361806</c:v>
                </c:pt>
                <c:pt idx="198">
                  <c:v>158819.43691361806</c:v>
                </c:pt>
                <c:pt idx="199">
                  <c:v>158819.43691361806</c:v>
                </c:pt>
                <c:pt idx="200">
                  <c:v>158819.43691361806</c:v>
                </c:pt>
                <c:pt idx="201">
                  <c:v>158819.43691361806</c:v>
                </c:pt>
                <c:pt idx="202">
                  <c:v>158819.43691361806</c:v>
                </c:pt>
                <c:pt idx="203">
                  <c:v>158819.43691361806</c:v>
                </c:pt>
                <c:pt idx="204">
                  <c:v>158819.43691361806</c:v>
                </c:pt>
                <c:pt idx="205">
                  <c:v>158819.43691361806</c:v>
                </c:pt>
                <c:pt idx="206">
                  <c:v>158819.43691361806</c:v>
                </c:pt>
                <c:pt idx="207">
                  <c:v>158819.43691361806</c:v>
                </c:pt>
                <c:pt idx="208">
                  <c:v>158819.43691361806</c:v>
                </c:pt>
                <c:pt idx="209">
                  <c:v>158819.43691361806</c:v>
                </c:pt>
                <c:pt idx="210">
                  <c:v>158819.43691361806</c:v>
                </c:pt>
                <c:pt idx="211">
                  <c:v>158819.43691361806</c:v>
                </c:pt>
                <c:pt idx="212">
                  <c:v>158819.43691361806</c:v>
                </c:pt>
                <c:pt idx="213">
                  <c:v>158819.43691361806</c:v>
                </c:pt>
                <c:pt idx="214">
                  <c:v>158819.43691361806</c:v>
                </c:pt>
                <c:pt idx="215">
                  <c:v>158819.43691361806</c:v>
                </c:pt>
                <c:pt idx="216">
                  <c:v>158819.43691361806</c:v>
                </c:pt>
                <c:pt idx="217">
                  <c:v>158819.43691361806</c:v>
                </c:pt>
                <c:pt idx="218">
                  <c:v>158819.43691361806</c:v>
                </c:pt>
                <c:pt idx="219">
                  <c:v>158819.43691361806</c:v>
                </c:pt>
                <c:pt idx="220">
                  <c:v>158819.43691361806</c:v>
                </c:pt>
                <c:pt idx="221">
                  <c:v>158819.43691361806</c:v>
                </c:pt>
                <c:pt idx="222">
                  <c:v>158819.43691361806</c:v>
                </c:pt>
                <c:pt idx="223">
                  <c:v>158819.43691361806</c:v>
                </c:pt>
                <c:pt idx="224">
                  <c:v>158819.43691361806</c:v>
                </c:pt>
                <c:pt idx="225">
                  <c:v>158819.43691361806</c:v>
                </c:pt>
                <c:pt idx="226">
                  <c:v>158819.43691361806</c:v>
                </c:pt>
                <c:pt idx="227">
                  <c:v>158819.43691361806</c:v>
                </c:pt>
                <c:pt idx="228">
                  <c:v>158819.43691361806</c:v>
                </c:pt>
                <c:pt idx="229">
                  <c:v>158819.43691361806</c:v>
                </c:pt>
                <c:pt idx="230">
                  <c:v>158819.43691361806</c:v>
                </c:pt>
              </c:numCache>
            </c:numRef>
          </c:val>
          <c:smooth val="0"/>
          <c:extLst>
            <c:ext xmlns:c16="http://schemas.microsoft.com/office/drawing/2014/chart" uri="{C3380CC4-5D6E-409C-BE32-E72D297353CC}">
              <c16:uniqueId val="{00000002-59B2-4193-A747-B40A1D0B45B6}"/>
            </c:ext>
          </c:extLst>
        </c:ser>
        <c:dLbls>
          <c:showLegendKey val="0"/>
          <c:showVal val="0"/>
          <c:showCatName val="0"/>
          <c:showSerName val="0"/>
          <c:showPercent val="0"/>
          <c:showBubbleSize val="0"/>
        </c:dLbls>
        <c:marker val="1"/>
        <c:smooth val="0"/>
        <c:axId val="358656256"/>
        <c:axId val="355482656"/>
      </c:lineChart>
      <c:catAx>
        <c:axId val="43731360"/>
        <c:scaling>
          <c:orientation val="minMax"/>
        </c:scaling>
        <c:delete val="0"/>
        <c:axPos val="b"/>
        <c:numFmt formatCode="&quot;$&quot;#,##0_);[Red]\(&quot;$&quot;#,##0\)" sourceLinked="1"/>
        <c:majorTickMark val="out"/>
        <c:minorTickMark val="none"/>
        <c:tickLblPos val="nextTo"/>
        <c:spPr>
          <a:noFill/>
          <a:ln w="12700" cap="flat" cmpd="sng" algn="ctr">
            <a:solidFill>
              <a:srgbClr val="000000">
                <a:lumMod val="100000"/>
              </a:srgbClr>
            </a:solidFill>
            <a:round/>
          </a:ln>
          <a:effectLst/>
        </c:spPr>
        <c:txPr>
          <a:bodyPr rot="-60000000" spcFirstLastPara="1" vertOverflow="ellipsis" vert="horz" wrap="square" anchor="ctr" anchorCtr="1"/>
          <a:lstStyle/>
          <a:p>
            <a:pPr>
              <a:defRPr sz="1200" b="0" i="0" u="none" strike="noStrike" kern="1200" baseline="0">
                <a:solidFill>
                  <a:srgbClr val="000000"/>
                </a:solidFill>
                <a:latin typeface="Lato"/>
                <a:ea typeface="Lato"/>
                <a:cs typeface="Lato"/>
              </a:defRPr>
            </a:pPr>
            <a:endParaRPr lang="en-US"/>
          </a:p>
        </c:txPr>
        <c:crossAx val="398422240"/>
        <c:crosses val="autoZero"/>
        <c:auto val="1"/>
        <c:lblAlgn val="ctr"/>
        <c:lblOffset val="100"/>
        <c:tickLblSkip val="10"/>
        <c:tickMarkSkip val="5"/>
        <c:noMultiLvlLbl val="0"/>
      </c:catAx>
      <c:valAx>
        <c:axId val="398422240"/>
        <c:scaling>
          <c:orientation val="minMax"/>
          <c:max val="200000"/>
        </c:scaling>
        <c:delete val="0"/>
        <c:axPos val="l"/>
        <c:majorGridlines>
          <c:spPr>
            <a:ln w="12700" cap="flat" cmpd="sng" algn="ctr">
              <a:solidFill>
                <a:srgbClr val="DDDDDD"/>
              </a:solidFill>
              <a:prstDash val="solid"/>
              <a:round/>
            </a:ln>
            <a:effectLst/>
          </c:spPr>
        </c:majorGridlines>
        <c:numFmt formatCode="&quot;$&quot;#,##0" sourceLinked="1"/>
        <c:majorTickMark val="out"/>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1200" b="0" i="0" u="none" strike="noStrike" kern="1200" baseline="0">
                <a:solidFill>
                  <a:srgbClr val="000000"/>
                </a:solidFill>
                <a:latin typeface="Lato"/>
                <a:ea typeface="Lato"/>
                <a:cs typeface="Lato"/>
              </a:defRPr>
            </a:pPr>
            <a:endParaRPr lang="en-US"/>
          </a:p>
        </c:txPr>
        <c:crossAx val="43731360"/>
        <c:crosses val="autoZero"/>
        <c:crossBetween val="between"/>
      </c:valAx>
      <c:valAx>
        <c:axId val="355482656"/>
        <c:scaling>
          <c:orientation val="minMax"/>
          <c:max val="200000"/>
        </c:scaling>
        <c:delete val="1"/>
        <c:axPos val="r"/>
        <c:numFmt formatCode="&quot;$&quot;#,##0" sourceLinked="1"/>
        <c:majorTickMark val="out"/>
        <c:minorTickMark val="none"/>
        <c:tickLblPos val="nextTo"/>
        <c:crossAx val="358656256"/>
        <c:crosses val="max"/>
        <c:crossBetween val="between"/>
      </c:valAx>
      <c:catAx>
        <c:axId val="358656256"/>
        <c:scaling>
          <c:orientation val="minMax"/>
        </c:scaling>
        <c:delete val="1"/>
        <c:axPos val="b"/>
        <c:numFmt formatCode="&quot;$&quot;#,##0_);[Red]\(&quot;$&quot;#,##0\)" sourceLinked="1"/>
        <c:majorTickMark val="out"/>
        <c:minorTickMark val="none"/>
        <c:tickLblPos val="nextTo"/>
        <c:crossAx val="355482656"/>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6"/>
        <c:delete val="1"/>
      </c:legendEntry>
      <c:layout>
        <c:manualLayout>
          <c:xMode val="edge"/>
          <c:yMode val="edge"/>
          <c:x val="0.54228440657428101"/>
          <c:y val="0.47890491243639977"/>
          <c:w val="0.28111752209526197"/>
          <c:h val="0.1370861803231658"/>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000000"/>
              </a:solidFill>
              <a:latin typeface="Lato"/>
              <a:ea typeface="Lato"/>
              <a:cs typeface="Lato"/>
            </a:defRPr>
          </a:pPr>
          <a:endParaRPr lang="en-US"/>
        </a:p>
      </c:txPr>
    </c:legend>
    <c:plotVisOnly val="1"/>
    <c:dispBlanksAs val="gap"/>
    <c:showDLblsOverMax val="0"/>
  </c:chart>
  <c:spPr>
    <a:solidFill>
      <a:schemeClr val="bg1"/>
    </a:solidFill>
    <a:ln w="25400" cap="flat" cmpd="sng" algn="ctr">
      <a:noFill/>
      <a:round/>
    </a:ln>
    <a:effectLst/>
  </c:spPr>
  <c:txPr>
    <a:bodyPr/>
    <a:lstStyle/>
    <a:p>
      <a:pPr>
        <a:defRPr>
          <a:latin typeface="Lato"/>
          <a:ea typeface="Lato"/>
          <a:cs typeface="Lato"/>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05452384489676"/>
          <c:y val="3.0942327886346637E-2"/>
          <c:w val="0.82527252018026043"/>
          <c:h val="0.78135468922451701"/>
        </c:manualLayout>
      </c:layout>
      <c:lineChart>
        <c:grouping val="standard"/>
        <c:varyColors val="0"/>
        <c:ser>
          <c:idx val="0"/>
          <c:order val="0"/>
          <c:tx>
            <c:strRef>
              <c:f>Sheet3!$B$1</c:f>
              <c:strCache>
                <c:ptCount val="1"/>
                <c:pt idx="0">
                  <c:v>PAYE</c:v>
                </c:pt>
              </c:strCache>
            </c:strRef>
          </c:tx>
          <c:spPr>
            <a:ln w="28575" cap="rnd">
              <a:solidFill>
                <a:schemeClr val="accent1"/>
              </a:solidFill>
              <a:round/>
            </a:ln>
            <a:effectLst/>
          </c:spPr>
          <c:marker>
            <c:symbol val="none"/>
          </c:marker>
          <c:cat>
            <c:numRef>
              <c:f>Sheet3!$A$2:$A$102</c:f>
              <c:numCache>
                <c:formatCode>"$"#,##0_);[Red]\("$"#,##0\)</c:formatCode>
                <c:ptCount val="101"/>
                <c:pt idx="0">
                  <c:v>1</c:v>
                </c:pt>
                <c:pt idx="1">
                  <c:v>500</c:v>
                </c:pt>
                <c:pt idx="2">
                  <c:v>1000</c:v>
                </c:pt>
                <c:pt idx="3">
                  <c:v>1500</c:v>
                </c:pt>
                <c:pt idx="4">
                  <c:v>2000</c:v>
                </c:pt>
                <c:pt idx="5">
                  <c:v>2500</c:v>
                </c:pt>
                <c:pt idx="6">
                  <c:v>3000</c:v>
                </c:pt>
                <c:pt idx="7">
                  <c:v>3500</c:v>
                </c:pt>
                <c:pt idx="8">
                  <c:v>4000</c:v>
                </c:pt>
                <c:pt idx="9">
                  <c:v>4500</c:v>
                </c:pt>
                <c:pt idx="10">
                  <c:v>5000</c:v>
                </c:pt>
                <c:pt idx="11">
                  <c:v>5500</c:v>
                </c:pt>
                <c:pt idx="12">
                  <c:v>6000</c:v>
                </c:pt>
                <c:pt idx="13">
                  <c:v>6500</c:v>
                </c:pt>
                <c:pt idx="14">
                  <c:v>7000</c:v>
                </c:pt>
                <c:pt idx="15">
                  <c:v>7500</c:v>
                </c:pt>
                <c:pt idx="16">
                  <c:v>8000</c:v>
                </c:pt>
                <c:pt idx="17">
                  <c:v>8500</c:v>
                </c:pt>
                <c:pt idx="18">
                  <c:v>9000</c:v>
                </c:pt>
                <c:pt idx="19">
                  <c:v>9500</c:v>
                </c:pt>
                <c:pt idx="20">
                  <c:v>10000</c:v>
                </c:pt>
                <c:pt idx="21">
                  <c:v>10500</c:v>
                </c:pt>
                <c:pt idx="22">
                  <c:v>11000</c:v>
                </c:pt>
                <c:pt idx="23">
                  <c:v>11500</c:v>
                </c:pt>
                <c:pt idx="24">
                  <c:v>12000</c:v>
                </c:pt>
                <c:pt idx="25">
                  <c:v>12500</c:v>
                </c:pt>
                <c:pt idx="26">
                  <c:v>13000</c:v>
                </c:pt>
                <c:pt idx="27">
                  <c:v>13500</c:v>
                </c:pt>
                <c:pt idx="28">
                  <c:v>14000</c:v>
                </c:pt>
                <c:pt idx="29">
                  <c:v>14500</c:v>
                </c:pt>
                <c:pt idx="30">
                  <c:v>15000</c:v>
                </c:pt>
                <c:pt idx="31">
                  <c:v>15500</c:v>
                </c:pt>
                <c:pt idx="32">
                  <c:v>16000</c:v>
                </c:pt>
                <c:pt idx="33">
                  <c:v>16500</c:v>
                </c:pt>
                <c:pt idx="34">
                  <c:v>17000</c:v>
                </c:pt>
                <c:pt idx="35">
                  <c:v>17500</c:v>
                </c:pt>
                <c:pt idx="36">
                  <c:v>18000</c:v>
                </c:pt>
                <c:pt idx="37">
                  <c:v>18500</c:v>
                </c:pt>
                <c:pt idx="38">
                  <c:v>19000</c:v>
                </c:pt>
                <c:pt idx="39">
                  <c:v>19500</c:v>
                </c:pt>
                <c:pt idx="40">
                  <c:v>20000</c:v>
                </c:pt>
                <c:pt idx="41">
                  <c:v>20500</c:v>
                </c:pt>
                <c:pt idx="42">
                  <c:v>21000</c:v>
                </c:pt>
                <c:pt idx="43">
                  <c:v>21500</c:v>
                </c:pt>
                <c:pt idx="44">
                  <c:v>22000</c:v>
                </c:pt>
                <c:pt idx="45">
                  <c:v>22500</c:v>
                </c:pt>
                <c:pt idx="46">
                  <c:v>23000</c:v>
                </c:pt>
                <c:pt idx="47">
                  <c:v>23500</c:v>
                </c:pt>
                <c:pt idx="48">
                  <c:v>24000</c:v>
                </c:pt>
                <c:pt idx="49">
                  <c:v>24500</c:v>
                </c:pt>
                <c:pt idx="50">
                  <c:v>25000</c:v>
                </c:pt>
                <c:pt idx="51">
                  <c:v>25500</c:v>
                </c:pt>
                <c:pt idx="52">
                  <c:v>26000</c:v>
                </c:pt>
                <c:pt idx="53">
                  <c:v>26500</c:v>
                </c:pt>
                <c:pt idx="54">
                  <c:v>27000</c:v>
                </c:pt>
                <c:pt idx="55">
                  <c:v>27500</c:v>
                </c:pt>
                <c:pt idx="56">
                  <c:v>28000</c:v>
                </c:pt>
                <c:pt idx="57">
                  <c:v>28500</c:v>
                </c:pt>
                <c:pt idx="58">
                  <c:v>29000</c:v>
                </c:pt>
                <c:pt idx="59">
                  <c:v>29500</c:v>
                </c:pt>
                <c:pt idx="60">
                  <c:v>30000</c:v>
                </c:pt>
                <c:pt idx="61">
                  <c:v>30500</c:v>
                </c:pt>
                <c:pt idx="62">
                  <c:v>31000</c:v>
                </c:pt>
                <c:pt idx="63">
                  <c:v>31500</c:v>
                </c:pt>
                <c:pt idx="64">
                  <c:v>32000</c:v>
                </c:pt>
                <c:pt idx="65">
                  <c:v>32500</c:v>
                </c:pt>
                <c:pt idx="66">
                  <c:v>33000</c:v>
                </c:pt>
                <c:pt idx="67">
                  <c:v>33500</c:v>
                </c:pt>
                <c:pt idx="68">
                  <c:v>34000</c:v>
                </c:pt>
                <c:pt idx="69">
                  <c:v>34500</c:v>
                </c:pt>
                <c:pt idx="70">
                  <c:v>35000</c:v>
                </c:pt>
                <c:pt idx="71">
                  <c:v>35500</c:v>
                </c:pt>
                <c:pt idx="72">
                  <c:v>36000</c:v>
                </c:pt>
                <c:pt idx="73">
                  <c:v>36500</c:v>
                </c:pt>
                <c:pt idx="74">
                  <c:v>37000</c:v>
                </c:pt>
                <c:pt idx="75">
                  <c:v>37500</c:v>
                </c:pt>
                <c:pt idx="76">
                  <c:v>38000</c:v>
                </c:pt>
                <c:pt idx="77">
                  <c:v>38500</c:v>
                </c:pt>
                <c:pt idx="78">
                  <c:v>39000</c:v>
                </c:pt>
                <c:pt idx="79">
                  <c:v>39500</c:v>
                </c:pt>
                <c:pt idx="80">
                  <c:v>40000</c:v>
                </c:pt>
                <c:pt idx="81">
                  <c:v>40500</c:v>
                </c:pt>
                <c:pt idx="82">
                  <c:v>41000</c:v>
                </c:pt>
                <c:pt idx="83">
                  <c:v>41500</c:v>
                </c:pt>
                <c:pt idx="84">
                  <c:v>42000</c:v>
                </c:pt>
                <c:pt idx="85">
                  <c:v>42500</c:v>
                </c:pt>
                <c:pt idx="86">
                  <c:v>43000</c:v>
                </c:pt>
                <c:pt idx="87">
                  <c:v>43500</c:v>
                </c:pt>
                <c:pt idx="88">
                  <c:v>44000</c:v>
                </c:pt>
                <c:pt idx="89">
                  <c:v>44500</c:v>
                </c:pt>
                <c:pt idx="90">
                  <c:v>45000</c:v>
                </c:pt>
                <c:pt idx="91">
                  <c:v>45500</c:v>
                </c:pt>
                <c:pt idx="92">
                  <c:v>46000</c:v>
                </c:pt>
                <c:pt idx="93">
                  <c:v>46500</c:v>
                </c:pt>
                <c:pt idx="94">
                  <c:v>47000</c:v>
                </c:pt>
                <c:pt idx="95">
                  <c:v>47500</c:v>
                </c:pt>
                <c:pt idx="96">
                  <c:v>48000</c:v>
                </c:pt>
                <c:pt idx="97">
                  <c:v>48500</c:v>
                </c:pt>
                <c:pt idx="98">
                  <c:v>49000</c:v>
                </c:pt>
                <c:pt idx="99">
                  <c:v>49500</c:v>
                </c:pt>
                <c:pt idx="100">
                  <c:v>50000</c:v>
                </c:pt>
              </c:numCache>
            </c:numRef>
          </c:cat>
          <c:val>
            <c:numRef>
              <c:f>Sheet3!$B$2:$B$102</c:f>
              <c:numCache>
                <c:formatCode>"$"#,##0</c:formatCode>
                <c:ptCount val="101"/>
                <c:pt idx="0">
                  <c:v>1.0472236440978102</c:v>
                </c:pt>
                <c:pt idx="1">
                  <c:v>523.61182204890486</c:v>
                </c:pt>
                <c:pt idx="2">
                  <c:v>1047.2236440978097</c:v>
                </c:pt>
                <c:pt idx="3">
                  <c:v>1570.8354661467145</c:v>
                </c:pt>
                <c:pt idx="4">
                  <c:v>2094.4472881956194</c:v>
                </c:pt>
                <c:pt idx="5">
                  <c:v>2618.059110244526</c:v>
                </c:pt>
                <c:pt idx="6">
                  <c:v>3141.6709322934289</c:v>
                </c:pt>
                <c:pt idx="7">
                  <c:v>3665.282754342335</c:v>
                </c:pt>
                <c:pt idx="8">
                  <c:v>4188.8945763912388</c:v>
                </c:pt>
                <c:pt idx="9">
                  <c:v>4712.5063984401449</c:v>
                </c:pt>
                <c:pt idx="10">
                  <c:v>5236.118220489052</c:v>
                </c:pt>
                <c:pt idx="11">
                  <c:v>5759.7300425379553</c:v>
                </c:pt>
                <c:pt idx="12">
                  <c:v>6283.3418645868578</c:v>
                </c:pt>
                <c:pt idx="13">
                  <c:v>6806.953686635763</c:v>
                </c:pt>
                <c:pt idx="14">
                  <c:v>7330.56550868467</c:v>
                </c:pt>
                <c:pt idx="15">
                  <c:v>7854.1773307335752</c:v>
                </c:pt>
                <c:pt idx="16">
                  <c:v>8377.7891527824777</c:v>
                </c:pt>
                <c:pt idx="17">
                  <c:v>8901.400974831382</c:v>
                </c:pt>
                <c:pt idx="18">
                  <c:v>9425.0127968802899</c:v>
                </c:pt>
                <c:pt idx="19">
                  <c:v>9948.6246189291942</c:v>
                </c:pt>
                <c:pt idx="20">
                  <c:v>10473.877473976005</c:v>
                </c:pt>
                <c:pt idx="21">
                  <c:v>11002.826530907614</c:v>
                </c:pt>
                <c:pt idx="22">
                  <c:v>11536.054425676675</c:v>
                </c:pt>
                <c:pt idx="23">
                  <c:v>12071.514516999861</c:v>
                </c:pt>
                <c:pt idx="24">
                  <c:v>12609.096025819003</c:v>
                </c:pt>
                <c:pt idx="25">
                  <c:v>13149.864687082634</c:v>
                </c:pt>
                <c:pt idx="26">
                  <c:v>13692.733764034479</c:v>
                </c:pt>
                <c:pt idx="27">
                  <c:v>14238.76678183588</c:v>
                </c:pt>
                <c:pt idx="28">
                  <c:v>14786.62888110594</c:v>
                </c:pt>
                <c:pt idx="29">
                  <c:v>15335.376069547285</c:v>
                </c:pt>
                <c:pt idx="30">
                  <c:v>15886.832633138796</c:v>
                </c:pt>
                <c:pt idx="31">
                  <c:v>16440.789522974152</c:v>
                </c:pt>
                <c:pt idx="32">
                  <c:v>16996.691808563999</c:v>
                </c:pt>
                <c:pt idx="33">
                  <c:v>17552.856203284977</c:v>
                </c:pt>
                <c:pt idx="34">
                  <c:v>18112.181856358911</c:v>
                </c:pt>
                <c:pt idx="35">
                  <c:v>18673.323160752363</c:v>
                </c:pt>
                <c:pt idx="36">
                  <c:v>19235.826771699103</c:v>
                </c:pt>
                <c:pt idx="37">
                  <c:v>19798.372027488254</c:v>
                </c:pt>
                <c:pt idx="38">
                  <c:v>20365.821274350692</c:v>
                </c:pt>
                <c:pt idx="39">
                  <c:v>20933.325529244059</c:v>
                </c:pt>
                <c:pt idx="40">
                  <c:v>21501.758853771549</c:v>
                </c:pt>
                <c:pt idx="41">
                  <c:v>22072.633200760862</c:v>
                </c:pt>
                <c:pt idx="42">
                  <c:v>22645.742974079596</c:v>
                </c:pt>
                <c:pt idx="43">
                  <c:v>23219.378111415135</c:v>
                </c:pt>
                <c:pt idx="44">
                  <c:v>23793.689570408649</c:v>
                </c:pt>
                <c:pt idx="45">
                  <c:v>24372.376470407991</c:v>
                </c:pt>
                <c:pt idx="46">
                  <c:v>24951.063370407337</c:v>
                </c:pt>
                <c:pt idx="47">
                  <c:v>25530.138469014699</c:v>
                </c:pt>
                <c:pt idx="48">
                  <c:v>26112.865096572816</c:v>
                </c:pt>
                <c:pt idx="49">
                  <c:v>26696.646752789227</c:v>
                </c:pt>
                <c:pt idx="50">
                  <c:v>27281.039118876437</c:v>
                </c:pt>
                <c:pt idx="51">
                  <c:v>27867.039062721447</c:v>
                </c:pt>
                <c:pt idx="52">
                  <c:v>28456.058426041673</c:v>
                </c:pt>
                <c:pt idx="53">
                  <c:v>29045.620493854371</c:v>
                </c:pt>
                <c:pt idx="54">
                  <c:v>29635.182561667061</c:v>
                </c:pt>
                <c:pt idx="55">
                  <c:v>30228.990913835732</c:v>
                </c:pt>
                <c:pt idx="56">
                  <c:v>30823.716248514673</c:v>
                </c:pt>
                <c:pt idx="57">
                  <c:v>31418.441583193595</c:v>
                </c:pt>
                <c:pt idx="58">
                  <c:v>31785.741784822101</c:v>
                </c:pt>
                <c:pt idx="59">
                  <c:v>31819.227973836667</c:v>
                </c:pt>
                <c:pt idx="60">
                  <c:v>31852.714162851236</c:v>
                </c:pt>
                <c:pt idx="61">
                  <c:v>31883.935487799255</c:v>
                </c:pt>
                <c:pt idx="62">
                  <c:v>31883.935487799255</c:v>
                </c:pt>
                <c:pt idx="63">
                  <c:v>31883.935487799255</c:v>
                </c:pt>
                <c:pt idx="64">
                  <c:v>31883.935487799255</c:v>
                </c:pt>
                <c:pt idx="65">
                  <c:v>31883.935487799255</c:v>
                </c:pt>
                <c:pt idx="66">
                  <c:v>31883.935487799255</c:v>
                </c:pt>
                <c:pt idx="67">
                  <c:v>31883.935487799255</c:v>
                </c:pt>
                <c:pt idx="68">
                  <c:v>31883.935487799255</c:v>
                </c:pt>
                <c:pt idx="69">
                  <c:v>31883.935487799255</c:v>
                </c:pt>
                <c:pt idx="70">
                  <c:v>31883.935487799255</c:v>
                </c:pt>
                <c:pt idx="71">
                  <c:v>31883.935487799255</c:v>
                </c:pt>
                <c:pt idx="72">
                  <c:v>31883.935487799255</c:v>
                </c:pt>
                <c:pt idx="73">
                  <c:v>31883.935487799255</c:v>
                </c:pt>
                <c:pt idx="74">
                  <c:v>31883.935487799255</c:v>
                </c:pt>
                <c:pt idx="75">
                  <c:v>31883.935487799255</c:v>
                </c:pt>
                <c:pt idx="76">
                  <c:v>31883.935487799255</c:v>
                </c:pt>
                <c:pt idx="77">
                  <c:v>31883.935487799255</c:v>
                </c:pt>
                <c:pt idx="78">
                  <c:v>31883.935487799255</c:v>
                </c:pt>
                <c:pt idx="79">
                  <c:v>31883.935487799255</c:v>
                </c:pt>
                <c:pt idx="80">
                  <c:v>31883.935487799255</c:v>
                </c:pt>
                <c:pt idx="81">
                  <c:v>31883.935487799255</c:v>
                </c:pt>
                <c:pt idx="82">
                  <c:v>31883.935487799255</c:v>
                </c:pt>
                <c:pt idx="83">
                  <c:v>31883.935487799255</c:v>
                </c:pt>
                <c:pt idx="84">
                  <c:v>31883.935487799255</c:v>
                </c:pt>
                <c:pt idx="85">
                  <c:v>31883.935487799255</c:v>
                </c:pt>
                <c:pt idx="86">
                  <c:v>31883.935487799255</c:v>
                </c:pt>
                <c:pt idx="87">
                  <c:v>31883.935487799255</c:v>
                </c:pt>
                <c:pt idx="88">
                  <c:v>31883.935487799255</c:v>
                </c:pt>
                <c:pt idx="89">
                  <c:v>31883.935487799255</c:v>
                </c:pt>
                <c:pt idx="90">
                  <c:v>31883.935487799255</c:v>
                </c:pt>
                <c:pt idx="91">
                  <c:v>31883.935487799255</c:v>
                </c:pt>
                <c:pt idx="92">
                  <c:v>31883.935487799255</c:v>
                </c:pt>
                <c:pt idx="93">
                  <c:v>31883.935487799255</c:v>
                </c:pt>
                <c:pt idx="94">
                  <c:v>31883.935487799255</c:v>
                </c:pt>
                <c:pt idx="95">
                  <c:v>31883.935487799255</c:v>
                </c:pt>
                <c:pt idx="96">
                  <c:v>31883.935487799255</c:v>
                </c:pt>
                <c:pt idx="97">
                  <c:v>31883.935487799255</c:v>
                </c:pt>
                <c:pt idx="98">
                  <c:v>31883.935487799255</c:v>
                </c:pt>
                <c:pt idx="99">
                  <c:v>31883.935487799255</c:v>
                </c:pt>
                <c:pt idx="100">
                  <c:v>31883.935487799255</c:v>
                </c:pt>
              </c:numCache>
            </c:numRef>
          </c:val>
          <c:smooth val="0"/>
          <c:extLst>
            <c:ext xmlns:c16="http://schemas.microsoft.com/office/drawing/2014/chart" uri="{C3380CC4-5D6E-409C-BE32-E72D297353CC}">
              <c16:uniqueId val="{00000000-F740-4C60-A5A2-3AAD5AF36372}"/>
            </c:ext>
          </c:extLst>
        </c:ser>
        <c:ser>
          <c:idx val="1"/>
          <c:order val="1"/>
          <c:tx>
            <c:strRef>
              <c:f>Sheet3!$C$1</c:f>
              <c:strCache>
                <c:ptCount val="1"/>
                <c:pt idx="0">
                  <c:v>REPAYE</c:v>
                </c:pt>
              </c:strCache>
            </c:strRef>
          </c:tx>
          <c:spPr>
            <a:ln w="28575" cap="rnd">
              <a:solidFill>
                <a:schemeClr val="accent2"/>
              </a:solidFill>
              <a:round/>
            </a:ln>
            <a:effectLst/>
          </c:spPr>
          <c:marker>
            <c:symbol val="none"/>
          </c:marker>
          <c:cat>
            <c:numRef>
              <c:f>Sheet3!$A$2:$A$102</c:f>
              <c:numCache>
                <c:formatCode>"$"#,##0_);[Red]\("$"#,##0\)</c:formatCode>
                <c:ptCount val="101"/>
                <c:pt idx="0">
                  <c:v>1</c:v>
                </c:pt>
                <c:pt idx="1">
                  <c:v>500</c:v>
                </c:pt>
                <c:pt idx="2">
                  <c:v>1000</c:v>
                </c:pt>
                <c:pt idx="3">
                  <c:v>1500</c:v>
                </c:pt>
                <c:pt idx="4">
                  <c:v>2000</c:v>
                </c:pt>
                <c:pt idx="5">
                  <c:v>2500</c:v>
                </c:pt>
                <c:pt idx="6">
                  <c:v>3000</c:v>
                </c:pt>
                <c:pt idx="7">
                  <c:v>3500</c:v>
                </c:pt>
                <c:pt idx="8">
                  <c:v>4000</c:v>
                </c:pt>
                <c:pt idx="9">
                  <c:v>4500</c:v>
                </c:pt>
                <c:pt idx="10">
                  <c:v>5000</c:v>
                </c:pt>
                <c:pt idx="11">
                  <c:v>5500</c:v>
                </c:pt>
                <c:pt idx="12">
                  <c:v>6000</c:v>
                </c:pt>
                <c:pt idx="13">
                  <c:v>6500</c:v>
                </c:pt>
                <c:pt idx="14">
                  <c:v>7000</c:v>
                </c:pt>
                <c:pt idx="15">
                  <c:v>7500</c:v>
                </c:pt>
                <c:pt idx="16">
                  <c:v>8000</c:v>
                </c:pt>
                <c:pt idx="17">
                  <c:v>8500</c:v>
                </c:pt>
                <c:pt idx="18">
                  <c:v>9000</c:v>
                </c:pt>
                <c:pt idx="19">
                  <c:v>9500</c:v>
                </c:pt>
                <c:pt idx="20">
                  <c:v>10000</c:v>
                </c:pt>
                <c:pt idx="21">
                  <c:v>10500</c:v>
                </c:pt>
                <c:pt idx="22">
                  <c:v>11000</c:v>
                </c:pt>
                <c:pt idx="23">
                  <c:v>11500</c:v>
                </c:pt>
                <c:pt idx="24">
                  <c:v>12000</c:v>
                </c:pt>
                <c:pt idx="25">
                  <c:v>12500</c:v>
                </c:pt>
                <c:pt idx="26">
                  <c:v>13000</c:v>
                </c:pt>
                <c:pt idx="27">
                  <c:v>13500</c:v>
                </c:pt>
                <c:pt idx="28">
                  <c:v>14000</c:v>
                </c:pt>
                <c:pt idx="29">
                  <c:v>14500</c:v>
                </c:pt>
                <c:pt idx="30">
                  <c:v>15000</c:v>
                </c:pt>
                <c:pt idx="31">
                  <c:v>15500</c:v>
                </c:pt>
                <c:pt idx="32">
                  <c:v>16000</c:v>
                </c:pt>
                <c:pt idx="33">
                  <c:v>16500</c:v>
                </c:pt>
                <c:pt idx="34">
                  <c:v>17000</c:v>
                </c:pt>
                <c:pt idx="35">
                  <c:v>17500</c:v>
                </c:pt>
                <c:pt idx="36">
                  <c:v>18000</c:v>
                </c:pt>
                <c:pt idx="37">
                  <c:v>18500</c:v>
                </c:pt>
                <c:pt idx="38">
                  <c:v>19000</c:v>
                </c:pt>
                <c:pt idx="39">
                  <c:v>19500</c:v>
                </c:pt>
                <c:pt idx="40">
                  <c:v>20000</c:v>
                </c:pt>
                <c:pt idx="41">
                  <c:v>20500</c:v>
                </c:pt>
                <c:pt idx="42">
                  <c:v>21000</c:v>
                </c:pt>
                <c:pt idx="43">
                  <c:v>21500</c:v>
                </c:pt>
                <c:pt idx="44">
                  <c:v>22000</c:v>
                </c:pt>
                <c:pt idx="45">
                  <c:v>22500</c:v>
                </c:pt>
                <c:pt idx="46">
                  <c:v>23000</c:v>
                </c:pt>
                <c:pt idx="47">
                  <c:v>23500</c:v>
                </c:pt>
                <c:pt idx="48">
                  <c:v>24000</c:v>
                </c:pt>
                <c:pt idx="49">
                  <c:v>24500</c:v>
                </c:pt>
                <c:pt idx="50">
                  <c:v>25000</c:v>
                </c:pt>
                <c:pt idx="51">
                  <c:v>25500</c:v>
                </c:pt>
                <c:pt idx="52">
                  <c:v>26000</c:v>
                </c:pt>
                <c:pt idx="53">
                  <c:v>26500</c:v>
                </c:pt>
                <c:pt idx="54">
                  <c:v>27000</c:v>
                </c:pt>
                <c:pt idx="55">
                  <c:v>27500</c:v>
                </c:pt>
                <c:pt idx="56">
                  <c:v>28000</c:v>
                </c:pt>
                <c:pt idx="57">
                  <c:v>28500</c:v>
                </c:pt>
                <c:pt idx="58">
                  <c:v>29000</c:v>
                </c:pt>
                <c:pt idx="59">
                  <c:v>29500</c:v>
                </c:pt>
                <c:pt idx="60">
                  <c:v>30000</c:v>
                </c:pt>
                <c:pt idx="61">
                  <c:v>30500</c:v>
                </c:pt>
                <c:pt idx="62">
                  <c:v>31000</c:v>
                </c:pt>
                <c:pt idx="63">
                  <c:v>31500</c:v>
                </c:pt>
                <c:pt idx="64">
                  <c:v>32000</c:v>
                </c:pt>
                <c:pt idx="65">
                  <c:v>32500</c:v>
                </c:pt>
                <c:pt idx="66">
                  <c:v>33000</c:v>
                </c:pt>
                <c:pt idx="67">
                  <c:v>33500</c:v>
                </c:pt>
                <c:pt idx="68">
                  <c:v>34000</c:v>
                </c:pt>
                <c:pt idx="69">
                  <c:v>34500</c:v>
                </c:pt>
                <c:pt idx="70">
                  <c:v>35000</c:v>
                </c:pt>
                <c:pt idx="71">
                  <c:v>35500</c:v>
                </c:pt>
                <c:pt idx="72">
                  <c:v>36000</c:v>
                </c:pt>
                <c:pt idx="73">
                  <c:v>36500</c:v>
                </c:pt>
                <c:pt idx="74">
                  <c:v>37000</c:v>
                </c:pt>
                <c:pt idx="75">
                  <c:v>37500</c:v>
                </c:pt>
                <c:pt idx="76">
                  <c:v>38000</c:v>
                </c:pt>
                <c:pt idx="77">
                  <c:v>38500</c:v>
                </c:pt>
                <c:pt idx="78">
                  <c:v>39000</c:v>
                </c:pt>
                <c:pt idx="79">
                  <c:v>39500</c:v>
                </c:pt>
                <c:pt idx="80">
                  <c:v>40000</c:v>
                </c:pt>
                <c:pt idx="81">
                  <c:v>40500</c:v>
                </c:pt>
                <c:pt idx="82">
                  <c:v>41000</c:v>
                </c:pt>
                <c:pt idx="83">
                  <c:v>41500</c:v>
                </c:pt>
                <c:pt idx="84">
                  <c:v>42000</c:v>
                </c:pt>
                <c:pt idx="85">
                  <c:v>42500</c:v>
                </c:pt>
                <c:pt idx="86">
                  <c:v>43000</c:v>
                </c:pt>
                <c:pt idx="87">
                  <c:v>43500</c:v>
                </c:pt>
                <c:pt idx="88">
                  <c:v>44000</c:v>
                </c:pt>
                <c:pt idx="89">
                  <c:v>44500</c:v>
                </c:pt>
                <c:pt idx="90">
                  <c:v>45000</c:v>
                </c:pt>
                <c:pt idx="91">
                  <c:v>45500</c:v>
                </c:pt>
                <c:pt idx="92">
                  <c:v>46000</c:v>
                </c:pt>
                <c:pt idx="93">
                  <c:v>46500</c:v>
                </c:pt>
                <c:pt idx="94">
                  <c:v>47000</c:v>
                </c:pt>
                <c:pt idx="95">
                  <c:v>47500</c:v>
                </c:pt>
                <c:pt idx="96">
                  <c:v>48000</c:v>
                </c:pt>
                <c:pt idx="97">
                  <c:v>48500</c:v>
                </c:pt>
                <c:pt idx="98">
                  <c:v>49000</c:v>
                </c:pt>
                <c:pt idx="99">
                  <c:v>49500</c:v>
                </c:pt>
                <c:pt idx="100">
                  <c:v>50000</c:v>
                </c:pt>
              </c:numCache>
            </c:numRef>
          </c:cat>
          <c:val>
            <c:numRef>
              <c:f>Sheet3!$C$2:$C$102</c:f>
              <c:numCache>
                <c:formatCode>"$"#,##0</c:formatCode>
                <c:ptCount val="101"/>
                <c:pt idx="0">
                  <c:v>1.0087378640776574</c:v>
                </c:pt>
                <c:pt idx="1">
                  <c:v>504.36893203883494</c:v>
                </c:pt>
                <c:pt idx="2">
                  <c:v>1008.7378640776699</c:v>
                </c:pt>
                <c:pt idx="3">
                  <c:v>1516.2244320859645</c:v>
                </c:pt>
                <c:pt idx="4">
                  <c:v>2025.0004712979544</c:v>
                </c:pt>
                <c:pt idx="5">
                  <c:v>2535.3128517003788</c:v>
                </c:pt>
                <c:pt idx="6">
                  <c:v>3048.5345067889775</c:v>
                </c:pt>
                <c:pt idx="7">
                  <c:v>3561.7561618775771</c:v>
                </c:pt>
                <c:pt idx="8">
                  <c:v>4079.0841628463122</c:v>
                </c:pt>
                <c:pt idx="9">
                  <c:v>4596.7902789987929</c:v>
                </c:pt>
                <c:pt idx="10">
                  <c:v>5116.3910856966741</c:v>
                </c:pt>
                <c:pt idx="11">
                  <c:v>5638.620847524272</c:v>
                </c:pt>
                <c:pt idx="12">
                  <c:v>6160.8506093518718</c:v>
                </c:pt>
                <c:pt idx="13">
                  <c:v>6686.9872562618202</c:v>
                </c:pt>
                <c:pt idx="14">
                  <c:v>7213.780190765583</c:v>
                </c:pt>
                <c:pt idx="15">
                  <c:v>7741.6262429513827</c:v>
                </c:pt>
                <c:pt idx="16">
                  <c:v>8273.022222513915</c:v>
                </c:pt>
                <c:pt idx="17">
                  <c:v>8804.4182020764492</c:v>
                </c:pt>
                <c:pt idx="18">
                  <c:v>9338.3110849250952</c:v>
                </c:pt>
                <c:pt idx="19">
                  <c:v>9874.350330328467</c:v>
                </c:pt>
                <c:pt idx="20">
                  <c:v>10410.389575731837</c:v>
                </c:pt>
                <c:pt idx="21">
                  <c:v>10950.101483761156</c:v>
                </c:pt>
                <c:pt idx="22">
                  <c:v>11490.824567231162</c:v>
                </c:pt>
                <c:pt idx="23">
                  <c:v>12031.547650701164</c:v>
                </c:pt>
                <c:pt idx="24">
                  <c:v>12576.848673645682</c:v>
                </c:pt>
                <c:pt idx="25">
                  <c:v>13122.296521922699</c:v>
                </c:pt>
                <c:pt idx="26">
                  <c:v>13668.18854854957</c:v>
                </c:pt>
                <c:pt idx="27">
                  <c:v>14218.402445986296</c:v>
                </c:pt>
                <c:pt idx="28">
                  <c:v>14768.616343423015</c:v>
                </c:pt>
                <c:pt idx="29">
                  <c:v>15319.589516456299</c:v>
                </c:pt>
                <c:pt idx="30">
                  <c:v>15874.611108142473</c:v>
                </c:pt>
                <c:pt idx="31">
                  <c:v>16429.632699828642</c:v>
                </c:pt>
                <c:pt idx="32">
                  <c:v>16985.450146848085</c:v>
                </c:pt>
                <c:pt idx="33">
                  <c:v>17545.321441762586</c:v>
                </c:pt>
                <c:pt idx="34">
                  <c:v>18105.19273667708</c:v>
                </c:pt>
                <c:pt idx="35">
                  <c:v>18665.615286530876</c:v>
                </c:pt>
                <c:pt idx="36">
                  <c:v>19230.378660721326</c:v>
                </c:pt>
                <c:pt idx="37">
                  <c:v>19795.142034911776</c:v>
                </c:pt>
                <c:pt idx="38">
                  <c:v>20359.928168861039</c:v>
                </c:pt>
                <c:pt idx="39">
                  <c:v>20929.62636865121</c:v>
                </c:pt>
                <c:pt idx="40">
                  <c:v>21499.324568441378</c:v>
                </c:pt>
                <c:pt idx="41">
                  <c:v>22069.022768231549</c:v>
                </c:pt>
                <c:pt idx="42">
                  <c:v>22642.906516061648</c:v>
                </c:pt>
                <c:pt idx="43">
                  <c:v>23217.582661286888</c:v>
                </c:pt>
                <c:pt idx="44">
                  <c:v>23792.258806512113</c:v>
                </c:pt>
                <c:pt idx="45">
                  <c:v>24370.059357039187</c:v>
                </c:pt>
                <c:pt idx="46">
                  <c:v>24949.75694431008</c:v>
                </c:pt>
                <c:pt idx="47">
                  <c:v>25529.454531580963</c:v>
                </c:pt>
                <c:pt idx="48">
                  <c:v>26110.923405522251</c:v>
                </c:pt>
                <c:pt idx="49">
                  <c:v>26695.686311516867</c:v>
                </c:pt>
                <c:pt idx="50">
                  <c:v>27280.449217511472</c:v>
                </c:pt>
                <c:pt idx="51">
                  <c:v>27865.335391143948</c:v>
                </c:pt>
                <c:pt idx="52">
                  <c:v>28455.207875928812</c:v>
                </c:pt>
                <c:pt idx="53">
                  <c:v>29045.080360713673</c:v>
                </c:pt>
                <c:pt idx="54">
                  <c:v>29634.952845498527</c:v>
                </c:pt>
                <c:pt idx="55">
                  <c:v>30228.156925016159</c:v>
                </c:pt>
                <c:pt idx="56">
                  <c:v>30823.183635396228</c:v>
                </c:pt>
                <c:pt idx="57">
                  <c:v>31418.210345776286</c:v>
                </c:pt>
                <c:pt idx="58">
                  <c:v>31883.935487799255</c:v>
                </c:pt>
                <c:pt idx="59">
                  <c:v>31883.935487799255</c:v>
                </c:pt>
                <c:pt idx="60">
                  <c:v>31883.935487799255</c:v>
                </c:pt>
                <c:pt idx="61">
                  <c:v>31883.935487799255</c:v>
                </c:pt>
                <c:pt idx="62">
                  <c:v>31883.935487799255</c:v>
                </c:pt>
                <c:pt idx="63">
                  <c:v>31883.935487799255</c:v>
                </c:pt>
                <c:pt idx="64">
                  <c:v>31883.935487799255</c:v>
                </c:pt>
                <c:pt idx="65">
                  <c:v>31883.935487799255</c:v>
                </c:pt>
                <c:pt idx="66">
                  <c:v>31883.935487799255</c:v>
                </c:pt>
                <c:pt idx="67">
                  <c:v>31883.935487799255</c:v>
                </c:pt>
                <c:pt idx="68">
                  <c:v>31883.935487799255</c:v>
                </c:pt>
                <c:pt idx="69">
                  <c:v>31883.935487799255</c:v>
                </c:pt>
                <c:pt idx="70">
                  <c:v>31883.935487799255</c:v>
                </c:pt>
                <c:pt idx="71">
                  <c:v>31883.935487799255</c:v>
                </c:pt>
                <c:pt idx="72">
                  <c:v>31883.935487799255</c:v>
                </c:pt>
                <c:pt idx="73">
                  <c:v>31883.935487799255</c:v>
                </c:pt>
                <c:pt idx="74">
                  <c:v>31883.935487799255</c:v>
                </c:pt>
                <c:pt idx="75">
                  <c:v>31883.935487799255</c:v>
                </c:pt>
                <c:pt idx="76">
                  <c:v>31883.935487799255</c:v>
                </c:pt>
                <c:pt idx="77">
                  <c:v>31883.935487799255</c:v>
                </c:pt>
                <c:pt idx="78">
                  <c:v>31883.935487799255</c:v>
                </c:pt>
                <c:pt idx="79">
                  <c:v>31883.935487799255</c:v>
                </c:pt>
                <c:pt idx="80">
                  <c:v>31883.935487799255</c:v>
                </c:pt>
                <c:pt idx="81">
                  <c:v>31883.935487799255</c:v>
                </c:pt>
                <c:pt idx="82">
                  <c:v>31883.935487799255</c:v>
                </c:pt>
                <c:pt idx="83">
                  <c:v>31883.935487799255</c:v>
                </c:pt>
                <c:pt idx="84">
                  <c:v>31883.935487799255</c:v>
                </c:pt>
                <c:pt idx="85">
                  <c:v>31883.935487799255</c:v>
                </c:pt>
                <c:pt idx="86">
                  <c:v>31883.935487799255</c:v>
                </c:pt>
                <c:pt idx="87">
                  <c:v>31883.935487799255</c:v>
                </c:pt>
                <c:pt idx="88">
                  <c:v>31883.935487799255</c:v>
                </c:pt>
                <c:pt idx="89">
                  <c:v>31883.935487799255</c:v>
                </c:pt>
                <c:pt idx="90">
                  <c:v>31883.935487799255</c:v>
                </c:pt>
                <c:pt idx="91">
                  <c:v>31883.935487799255</c:v>
                </c:pt>
                <c:pt idx="92">
                  <c:v>31883.935487799255</c:v>
                </c:pt>
                <c:pt idx="93">
                  <c:v>31883.935487799255</c:v>
                </c:pt>
                <c:pt idx="94">
                  <c:v>31883.935487799255</c:v>
                </c:pt>
                <c:pt idx="95">
                  <c:v>31883.935487799255</c:v>
                </c:pt>
                <c:pt idx="96">
                  <c:v>31883.935487799255</c:v>
                </c:pt>
                <c:pt idx="97">
                  <c:v>31883.935487799255</c:v>
                </c:pt>
                <c:pt idx="98">
                  <c:v>31883.935487799255</c:v>
                </c:pt>
                <c:pt idx="99">
                  <c:v>31883.935487799255</c:v>
                </c:pt>
                <c:pt idx="100">
                  <c:v>31883.935487799255</c:v>
                </c:pt>
              </c:numCache>
            </c:numRef>
          </c:val>
          <c:smooth val="0"/>
          <c:extLst>
            <c:ext xmlns:c16="http://schemas.microsoft.com/office/drawing/2014/chart" uri="{C3380CC4-5D6E-409C-BE32-E72D297353CC}">
              <c16:uniqueId val="{00000001-F740-4C60-A5A2-3AAD5AF36372}"/>
            </c:ext>
          </c:extLst>
        </c:ser>
        <c:ser>
          <c:idx val="2"/>
          <c:order val="2"/>
          <c:tx>
            <c:strRef>
              <c:f>Sheet3!$D$1</c:f>
              <c:strCache>
                <c:ptCount val="1"/>
                <c:pt idx="0">
                  <c:v>HEA</c:v>
                </c:pt>
              </c:strCache>
            </c:strRef>
          </c:tx>
          <c:spPr>
            <a:ln w="28575" cap="rnd">
              <a:solidFill>
                <a:schemeClr val="accent3"/>
              </a:solidFill>
              <a:round/>
            </a:ln>
            <a:effectLst/>
          </c:spPr>
          <c:marker>
            <c:symbol val="none"/>
          </c:marker>
          <c:cat>
            <c:numRef>
              <c:f>Sheet3!$A$2:$A$102</c:f>
              <c:numCache>
                <c:formatCode>"$"#,##0_);[Red]\("$"#,##0\)</c:formatCode>
                <c:ptCount val="101"/>
                <c:pt idx="0">
                  <c:v>1</c:v>
                </c:pt>
                <c:pt idx="1">
                  <c:v>500</c:v>
                </c:pt>
                <c:pt idx="2">
                  <c:v>1000</c:v>
                </c:pt>
                <c:pt idx="3">
                  <c:v>1500</c:v>
                </c:pt>
                <c:pt idx="4">
                  <c:v>2000</c:v>
                </c:pt>
                <c:pt idx="5">
                  <c:v>2500</c:v>
                </c:pt>
                <c:pt idx="6">
                  <c:v>3000</c:v>
                </c:pt>
                <c:pt idx="7">
                  <c:v>3500</c:v>
                </c:pt>
                <c:pt idx="8">
                  <c:v>4000</c:v>
                </c:pt>
                <c:pt idx="9">
                  <c:v>4500</c:v>
                </c:pt>
                <c:pt idx="10">
                  <c:v>5000</c:v>
                </c:pt>
                <c:pt idx="11">
                  <c:v>5500</c:v>
                </c:pt>
                <c:pt idx="12">
                  <c:v>6000</c:v>
                </c:pt>
                <c:pt idx="13">
                  <c:v>6500</c:v>
                </c:pt>
                <c:pt idx="14">
                  <c:v>7000</c:v>
                </c:pt>
                <c:pt idx="15">
                  <c:v>7500</c:v>
                </c:pt>
                <c:pt idx="16">
                  <c:v>8000</c:v>
                </c:pt>
                <c:pt idx="17">
                  <c:v>8500</c:v>
                </c:pt>
                <c:pt idx="18">
                  <c:v>9000</c:v>
                </c:pt>
                <c:pt idx="19">
                  <c:v>9500</c:v>
                </c:pt>
                <c:pt idx="20">
                  <c:v>10000</c:v>
                </c:pt>
                <c:pt idx="21">
                  <c:v>10500</c:v>
                </c:pt>
                <c:pt idx="22">
                  <c:v>11000</c:v>
                </c:pt>
                <c:pt idx="23">
                  <c:v>11500</c:v>
                </c:pt>
                <c:pt idx="24">
                  <c:v>12000</c:v>
                </c:pt>
                <c:pt idx="25">
                  <c:v>12500</c:v>
                </c:pt>
                <c:pt idx="26">
                  <c:v>13000</c:v>
                </c:pt>
                <c:pt idx="27">
                  <c:v>13500</c:v>
                </c:pt>
                <c:pt idx="28">
                  <c:v>14000</c:v>
                </c:pt>
                <c:pt idx="29">
                  <c:v>14500</c:v>
                </c:pt>
                <c:pt idx="30">
                  <c:v>15000</c:v>
                </c:pt>
                <c:pt idx="31">
                  <c:v>15500</c:v>
                </c:pt>
                <c:pt idx="32">
                  <c:v>16000</c:v>
                </c:pt>
                <c:pt idx="33">
                  <c:v>16500</c:v>
                </c:pt>
                <c:pt idx="34">
                  <c:v>17000</c:v>
                </c:pt>
                <c:pt idx="35">
                  <c:v>17500</c:v>
                </c:pt>
                <c:pt idx="36">
                  <c:v>18000</c:v>
                </c:pt>
                <c:pt idx="37">
                  <c:v>18500</c:v>
                </c:pt>
                <c:pt idx="38">
                  <c:v>19000</c:v>
                </c:pt>
                <c:pt idx="39">
                  <c:v>19500</c:v>
                </c:pt>
                <c:pt idx="40">
                  <c:v>20000</c:v>
                </c:pt>
                <c:pt idx="41">
                  <c:v>20500</c:v>
                </c:pt>
                <c:pt idx="42">
                  <c:v>21000</c:v>
                </c:pt>
                <c:pt idx="43">
                  <c:v>21500</c:v>
                </c:pt>
                <c:pt idx="44">
                  <c:v>22000</c:v>
                </c:pt>
                <c:pt idx="45">
                  <c:v>22500</c:v>
                </c:pt>
                <c:pt idx="46">
                  <c:v>23000</c:v>
                </c:pt>
                <c:pt idx="47">
                  <c:v>23500</c:v>
                </c:pt>
                <c:pt idx="48">
                  <c:v>24000</c:v>
                </c:pt>
                <c:pt idx="49">
                  <c:v>24500</c:v>
                </c:pt>
                <c:pt idx="50">
                  <c:v>25000</c:v>
                </c:pt>
                <c:pt idx="51">
                  <c:v>25500</c:v>
                </c:pt>
                <c:pt idx="52">
                  <c:v>26000</c:v>
                </c:pt>
                <c:pt idx="53">
                  <c:v>26500</c:v>
                </c:pt>
                <c:pt idx="54">
                  <c:v>27000</c:v>
                </c:pt>
                <c:pt idx="55">
                  <c:v>27500</c:v>
                </c:pt>
                <c:pt idx="56">
                  <c:v>28000</c:v>
                </c:pt>
                <c:pt idx="57">
                  <c:v>28500</c:v>
                </c:pt>
                <c:pt idx="58">
                  <c:v>29000</c:v>
                </c:pt>
                <c:pt idx="59">
                  <c:v>29500</c:v>
                </c:pt>
                <c:pt idx="60">
                  <c:v>30000</c:v>
                </c:pt>
                <c:pt idx="61">
                  <c:v>30500</c:v>
                </c:pt>
                <c:pt idx="62">
                  <c:v>31000</c:v>
                </c:pt>
                <c:pt idx="63">
                  <c:v>31500</c:v>
                </c:pt>
                <c:pt idx="64">
                  <c:v>32000</c:v>
                </c:pt>
                <c:pt idx="65">
                  <c:v>32500</c:v>
                </c:pt>
                <c:pt idx="66">
                  <c:v>33000</c:v>
                </c:pt>
                <c:pt idx="67">
                  <c:v>33500</c:v>
                </c:pt>
                <c:pt idx="68">
                  <c:v>34000</c:v>
                </c:pt>
                <c:pt idx="69">
                  <c:v>34500</c:v>
                </c:pt>
                <c:pt idx="70">
                  <c:v>35000</c:v>
                </c:pt>
                <c:pt idx="71">
                  <c:v>35500</c:v>
                </c:pt>
                <c:pt idx="72">
                  <c:v>36000</c:v>
                </c:pt>
                <c:pt idx="73">
                  <c:v>36500</c:v>
                </c:pt>
                <c:pt idx="74">
                  <c:v>37000</c:v>
                </c:pt>
                <c:pt idx="75">
                  <c:v>37500</c:v>
                </c:pt>
                <c:pt idx="76">
                  <c:v>38000</c:v>
                </c:pt>
                <c:pt idx="77">
                  <c:v>38500</c:v>
                </c:pt>
                <c:pt idx="78">
                  <c:v>39000</c:v>
                </c:pt>
                <c:pt idx="79">
                  <c:v>39500</c:v>
                </c:pt>
                <c:pt idx="80">
                  <c:v>40000</c:v>
                </c:pt>
                <c:pt idx="81">
                  <c:v>40500</c:v>
                </c:pt>
                <c:pt idx="82">
                  <c:v>41000</c:v>
                </c:pt>
                <c:pt idx="83">
                  <c:v>41500</c:v>
                </c:pt>
                <c:pt idx="84">
                  <c:v>42000</c:v>
                </c:pt>
                <c:pt idx="85">
                  <c:v>42500</c:v>
                </c:pt>
                <c:pt idx="86">
                  <c:v>43000</c:v>
                </c:pt>
                <c:pt idx="87">
                  <c:v>43500</c:v>
                </c:pt>
                <c:pt idx="88">
                  <c:v>44000</c:v>
                </c:pt>
                <c:pt idx="89">
                  <c:v>44500</c:v>
                </c:pt>
                <c:pt idx="90">
                  <c:v>45000</c:v>
                </c:pt>
                <c:pt idx="91">
                  <c:v>45500</c:v>
                </c:pt>
                <c:pt idx="92">
                  <c:v>46000</c:v>
                </c:pt>
                <c:pt idx="93">
                  <c:v>46500</c:v>
                </c:pt>
                <c:pt idx="94">
                  <c:v>47000</c:v>
                </c:pt>
                <c:pt idx="95">
                  <c:v>47500</c:v>
                </c:pt>
                <c:pt idx="96">
                  <c:v>48000</c:v>
                </c:pt>
                <c:pt idx="97">
                  <c:v>48500</c:v>
                </c:pt>
                <c:pt idx="98">
                  <c:v>49000</c:v>
                </c:pt>
                <c:pt idx="99">
                  <c:v>49500</c:v>
                </c:pt>
                <c:pt idx="100">
                  <c:v>50000</c:v>
                </c:pt>
              </c:numCache>
            </c:numRef>
          </c:cat>
          <c:val>
            <c:numRef>
              <c:f>Sheet3!$D$2:$D$102</c:f>
              <c:numCache>
                <c:formatCode>"$"#,##0</c:formatCode>
                <c:ptCount val="101"/>
                <c:pt idx="0">
                  <c:v>1.1695406199542369</c:v>
                </c:pt>
                <c:pt idx="1">
                  <c:v>584.77030997711847</c:v>
                </c:pt>
                <c:pt idx="2">
                  <c:v>1169.5406199542369</c:v>
                </c:pt>
                <c:pt idx="3">
                  <c:v>1754.3109299313555</c:v>
                </c:pt>
                <c:pt idx="4">
                  <c:v>2330.8382386830995</c:v>
                </c:pt>
                <c:pt idx="5">
                  <c:v>2900.9181914163692</c:v>
                </c:pt>
                <c:pt idx="6">
                  <c:v>3470.9981441496375</c:v>
                </c:pt>
                <c:pt idx="7">
                  <c:v>4026.3940608981707</c:v>
                </c:pt>
                <c:pt idx="8">
                  <c:v>4579.8697431634801</c:v>
                </c:pt>
                <c:pt idx="9">
                  <c:v>5133.3454254287899</c:v>
                </c:pt>
                <c:pt idx="10">
                  <c:v>5678.6868234707572</c:v>
                </c:pt>
                <c:pt idx="11">
                  <c:v>6216.0418547963</c:v>
                </c:pt>
                <c:pt idx="12">
                  <c:v>6753.3968861218427</c:v>
                </c:pt>
                <c:pt idx="13">
                  <c:v>7290.7519174473873</c:v>
                </c:pt>
                <c:pt idx="14">
                  <c:v>7814.079252665947</c:v>
                </c:pt>
                <c:pt idx="15">
                  <c:v>8335.7831665742433</c:v>
                </c:pt>
                <c:pt idx="16">
                  <c:v>8857.4870804825368</c:v>
                </c:pt>
                <c:pt idx="17">
                  <c:v>9378.4554882716584</c:v>
                </c:pt>
                <c:pt idx="18">
                  <c:v>9884.9641425515547</c:v>
                </c:pt>
                <c:pt idx="19">
                  <c:v>10391.472796831453</c:v>
                </c:pt>
                <c:pt idx="20">
                  <c:v>10897.981451111351</c:v>
                </c:pt>
                <c:pt idx="21">
                  <c:v>11404.490105391249</c:v>
                </c:pt>
                <c:pt idx="22">
                  <c:v>11896.991256549301</c:v>
                </c:pt>
                <c:pt idx="23">
                  <c:v>12388.747231578327</c:v>
                </c:pt>
                <c:pt idx="24">
                  <c:v>12880.503206607355</c:v>
                </c:pt>
                <c:pt idx="25">
                  <c:v>13372.259181636382</c:v>
                </c:pt>
                <c:pt idx="26">
                  <c:v>13855.599750403579</c:v>
                </c:pt>
                <c:pt idx="27">
                  <c:v>14333.032735868654</c:v>
                </c:pt>
                <c:pt idx="28">
                  <c:v>14810.465721333727</c:v>
                </c:pt>
                <c:pt idx="29">
                  <c:v>15287.898706798806</c:v>
                </c:pt>
                <c:pt idx="30">
                  <c:v>15765.331692263879</c:v>
                </c:pt>
                <c:pt idx="31">
                  <c:v>16229.553167142129</c:v>
                </c:pt>
                <c:pt idx="32">
                  <c:v>16693.080337496569</c:v>
                </c:pt>
                <c:pt idx="33">
                  <c:v>17156.607507851011</c:v>
                </c:pt>
                <c:pt idx="34">
                  <c:v>17620.134678205453</c:v>
                </c:pt>
                <c:pt idx="35">
                  <c:v>18083.337517770709</c:v>
                </c:pt>
                <c:pt idx="36">
                  <c:v>18533.3638967556</c:v>
                </c:pt>
                <c:pt idx="37">
                  <c:v>18983.390275740498</c:v>
                </c:pt>
                <c:pt idx="38">
                  <c:v>19433.416654725388</c:v>
                </c:pt>
                <c:pt idx="39">
                  <c:v>19883.443033710286</c:v>
                </c:pt>
                <c:pt idx="40">
                  <c:v>20333.46941269518</c:v>
                </c:pt>
                <c:pt idx="41">
                  <c:v>20773.06482508481</c:v>
                </c:pt>
                <c:pt idx="42">
                  <c:v>21209.98363963325</c:v>
                </c:pt>
                <c:pt idx="43">
                  <c:v>21646.902454181691</c:v>
                </c:pt>
                <c:pt idx="44">
                  <c:v>22083.821268730135</c:v>
                </c:pt>
                <c:pt idx="45">
                  <c:v>22520.740083278575</c:v>
                </c:pt>
                <c:pt idx="46">
                  <c:v>22954.46212557613</c:v>
                </c:pt>
                <c:pt idx="47">
                  <c:v>23378.655149409573</c:v>
                </c:pt>
                <c:pt idx="48">
                  <c:v>23802.848173243008</c:v>
                </c:pt>
                <c:pt idx="49">
                  <c:v>24227.041197076451</c:v>
                </c:pt>
                <c:pt idx="50">
                  <c:v>24651.234220909886</c:v>
                </c:pt>
                <c:pt idx="51">
                  <c:v>25075.427244743325</c:v>
                </c:pt>
                <c:pt idx="52">
                  <c:v>25494.98160847434</c:v>
                </c:pt>
                <c:pt idx="53">
                  <c:v>25906.81949569127</c:v>
                </c:pt>
                <c:pt idx="54">
                  <c:v>26318.657382908201</c:v>
                </c:pt>
                <c:pt idx="55">
                  <c:v>26730.495270125131</c:v>
                </c:pt>
                <c:pt idx="56">
                  <c:v>27142.333157342058</c:v>
                </c:pt>
                <c:pt idx="57">
                  <c:v>27554.171044558992</c:v>
                </c:pt>
                <c:pt idx="58">
                  <c:v>27964.172670155487</c:v>
                </c:pt>
                <c:pt idx="59">
                  <c:v>28364.015279103958</c:v>
                </c:pt>
                <c:pt idx="60">
                  <c:v>28763.857888052436</c:v>
                </c:pt>
                <c:pt idx="61">
                  <c:v>29163.700497000911</c:v>
                </c:pt>
                <c:pt idx="62">
                  <c:v>29563.543105949389</c:v>
                </c:pt>
                <c:pt idx="63">
                  <c:v>29963.385714897857</c:v>
                </c:pt>
                <c:pt idx="64">
                  <c:v>30363.228323846335</c:v>
                </c:pt>
                <c:pt idx="65">
                  <c:v>30756.455789753887</c:v>
                </c:pt>
                <c:pt idx="66">
                  <c:v>31144.652497470859</c:v>
                </c:pt>
                <c:pt idx="67">
                  <c:v>31532.849205187827</c:v>
                </c:pt>
                <c:pt idx="68">
                  <c:v>31921.045912904796</c:v>
                </c:pt>
                <c:pt idx="69">
                  <c:v>32309.242620621764</c:v>
                </c:pt>
                <c:pt idx="70">
                  <c:v>32697.439328338729</c:v>
                </c:pt>
                <c:pt idx="71">
                  <c:v>33085.636036055701</c:v>
                </c:pt>
                <c:pt idx="72">
                  <c:v>33467.009334881564</c:v>
                </c:pt>
                <c:pt idx="73">
                  <c:v>33843.899342373763</c:v>
                </c:pt>
                <c:pt idx="74">
                  <c:v>34220.789349865969</c:v>
                </c:pt>
                <c:pt idx="75">
                  <c:v>34597.679357358174</c:v>
                </c:pt>
                <c:pt idx="76">
                  <c:v>34974.569364850366</c:v>
                </c:pt>
                <c:pt idx="77">
                  <c:v>35351.459372342571</c:v>
                </c:pt>
                <c:pt idx="78">
                  <c:v>35728.34937983477</c:v>
                </c:pt>
                <c:pt idx="79">
                  <c:v>36102.583274612305</c:v>
                </c:pt>
                <c:pt idx="80">
                  <c:v>36468.495903245508</c:v>
                </c:pt>
                <c:pt idx="81">
                  <c:v>36834.408531878711</c:v>
                </c:pt>
                <c:pt idx="82">
                  <c:v>37200.321160511921</c:v>
                </c:pt>
                <c:pt idx="83">
                  <c:v>37566.233789145132</c:v>
                </c:pt>
                <c:pt idx="84">
                  <c:v>37932.146417778327</c:v>
                </c:pt>
                <c:pt idx="85">
                  <c:v>38298.05904641153</c:v>
                </c:pt>
                <c:pt idx="86">
                  <c:v>38663.971675044733</c:v>
                </c:pt>
                <c:pt idx="87">
                  <c:v>39024.926235605533</c:v>
                </c:pt>
                <c:pt idx="88">
                  <c:v>39380.18121486107</c:v>
                </c:pt>
                <c:pt idx="89">
                  <c:v>39735.436194116606</c:v>
                </c:pt>
                <c:pt idx="90">
                  <c:v>40090.691173372143</c:v>
                </c:pt>
                <c:pt idx="91">
                  <c:v>40445.946152627686</c:v>
                </c:pt>
                <c:pt idx="92">
                  <c:v>40801.201131883216</c:v>
                </c:pt>
                <c:pt idx="93">
                  <c:v>41156.456111138759</c:v>
                </c:pt>
                <c:pt idx="94">
                  <c:v>41511.711090394303</c:v>
                </c:pt>
                <c:pt idx="95">
                  <c:v>41864.335715410314</c:v>
                </c:pt>
                <c:pt idx="96">
                  <c:v>42209.24346226034</c:v>
                </c:pt>
                <c:pt idx="97">
                  <c:v>42554.15120911038</c:v>
                </c:pt>
                <c:pt idx="98">
                  <c:v>42899.05895596042</c:v>
                </c:pt>
                <c:pt idx="99">
                  <c:v>43243.96670281046</c:v>
                </c:pt>
                <c:pt idx="100">
                  <c:v>43588.8744496605</c:v>
                </c:pt>
              </c:numCache>
            </c:numRef>
          </c:val>
          <c:smooth val="0"/>
          <c:extLst>
            <c:ext xmlns:c16="http://schemas.microsoft.com/office/drawing/2014/chart" uri="{C3380CC4-5D6E-409C-BE32-E72D297353CC}">
              <c16:uniqueId val="{00000002-F740-4C60-A5A2-3AAD5AF36372}"/>
            </c:ext>
          </c:extLst>
        </c:ser>
        <c:ser>
          <c:idx val="3"/>
          <c:order val="3"/>
          <c:tx>
            <c:strRef>
              <c:f>Sheet3!$E$1</c:f>
              <c:strCache>
                <c:ptCount val="1"/>
                <c:pt idx="0">
                  <c:v>Standard (10-yr)</c:v>
                </c:pt>
              </c:strCache>
            </c:strRef>
          </c:tx>
          <c:spPr>
            <a:ln w="28575" cap="rnd">
              <a:solidFill>
                <a:schemeClr val="accent4"/>
              </a:solidFill>
              <a:round/>
            </a:ln>
            <a:effectLst/>
          </c:spPr>
          <c:marker>
            <c:symbol val="none"/>
          </c:marker>
          <c:cat>
            <c:numRef>
              <c:f>Sheet3!$A$2:$A$102</c:f>
              <c:numCache>
                <c:formatCode>"$"#,##0_);[Red]\("$"#,##0\)</c:formatCode>
                <c:ptCount val="101"/>
                <c:pt idx="0">
                  <c:v>1</c:v>
                </c:pt>
                <c:pt idx="1">
                  <c:v>500</c:v>
                </c:pt>
                <c:pt idx="2">
                  <c:v>1000</c:v>
                </c:pt>
                <c:pt idx="3">
                  <c:v>1500</c:v>
                </c:pt>
                <c:pt idx="4">
                  <c:v>2000</c:v>
                </c:pt>
                <c:pt idx="5">
                  <c:v>2500</c:v>
                </c:pt>
                <c:pt idx="6">
                  <c:v>3000</c:v>
                </c:pt>
                <c:pt idx="7">
                  <c:v>3500</c:v>
                </c:pt>
                <c:pt idx="8">
                  <c:v>4000</c:v>
                </c:pt>
                <c:pt idx="9">
                  <c:v>4500</c:v>
                </c:pt>
                <c:pt idx="10">
                  <c:v>5000</c:v>
                </c:pt>
                <c:pt idx="11">
                  <c:v>5500</c:v>
                </c:pt>
                <c:pt idx="12">
                  <c:v>6000</c:v>
                </c:pt>
                <c:pt idx="13">
                  <c:v>6500</c:v>
                </c:pt>
                <c:pt idx="14">
                  <c:v>7000</c:v>
                </c:pt>
                <c:pt idx="15">
                  <c:v>7500</c:v>
                </c:pt>
                <c:pt idx="16">
                  <c:v>8000</c:v>
                </c:pt>
                <c:pt idx="17">
                  <c:v>8500</c:v>
                </c:pt>
                <c:pt idx="18">
                  <c:v>9000</c:v>
                </c:pt>
                <c:pt idx="19">
                  <c:v>9500</c:v>
                </c:pt>
                <c:pt idx="20">
                  <c:v>10000</c:v>
                </c:pt>
                <c:pt idx="21">
                  <c:v>10500</c:v>
                </c:pt>
                <c:pt idx="22">
                  <c:v>11000</c:v>
                </c:pt>
                <c:pt idx="23">
                  <c:v>11500</c:v>
                </c:pt>
                <c:pt idx="24">
                  <c:v>12000</c:v>
                </c:pt>
                <c:pt idx="25">
                  <c:v>12500</c:v>
                </c:pt>
                <c:pt idx="26">
                  <c:v>13000</c:v>
                </c:pt>
                <c:pt idx="27">
                  <c:v>13500</c:v>
                </c:pt>
                <c:pt idx="28">
                  <c:v>14000</c:v>
                </c:pt>
                <c:pt idx="29">
                  <c:v>14500</c:v>
                </c:pt>
                <c:pt idx="30">
                  <c:v>15000</c:v>
                </c:pt>
                <c:pt idx="31">
                  <c:v>15500</c:v>
                </c:pt>
                <c:pt idx="32">
                  <c:v>16000</c:v>
                </c:pt>
                <c:pt idx="33">
                  <c:v>16500</c:v>
                </c:pt>
                <c:pt idx="34">
                  <c:v>17000</c:v>
                </c:pt>
                <c:pt idx="35">
                  <c:v>17500</c:v>
                </c:pt>
                <c:pt idx="36">
                  <c:v>18000</c:v>
                </c:pt>
                <c:pt idx="37">
                  <c:v>18500</c:v>
                </c:pt>
                <c:pt idx="38">
                  <c:v>19000</c:v>
                </c:pt>
                <c:pt idx="39">
                  <c:v>19500</c:v>
                </c:pt>
                <c:pt idx="40">
                  <c:v>20000</c:v>
                </c:pt>
                <c:pt idx="41">
                  <c:v>20500</c:v>
                </c:pt>
                <c:pt idx="42">
                  <c:v>21000</c:v>
                </c:pt>
                <c:pt idx="43">
                  <c:v>21500</c:v>
                </c:pt>
                <c:pt idx="44">
                  <c:v>22000</c:v>
                </c:pt>
                <c:pt idx="45">
                  <c:v>22500</c:v>
                </c:pt>
                <c:pt idx="46">
                  <c:v>23000</c:v>
                </c:pt>
                <c:pt idx="47">
                  <c:v>23500</c:v>
                </c:pt>
                <c:pt idx="48">
                  <c:v>24000</c:v>
                </c:pt>
                <c:pt idx="49">
                  <c:v>24500</c:v>
                </c:pt>
                <c:pt idx="50">
                  <c:v>25000</c:v>
                </c:pt>
                <c:pt idx="51">
                  <c:v>25500</c:v>
                </c:pt>
                <c:pt idx="52">
                  <c:v>26000</c:v>
                </c:pt>
                <c:pt idx="53">
                  <c:v>26500</c:v>
                </c:pt>
                <c:pt idx="54">
                  <c:v>27000</c:v>
                </c:pt>
                <c:pt idx="55">
                  <c:v>27500</c:v>
                </c:pt>
                <c:pt idx="56">
                  <c:v>28000</c:v>
                </c:pt>
                <c:pt idx="57">
                  <c:v>28500</c:v>
                </c:pt>
                <c:pt idx="58">
                  <c:v>29000</c:v>
                </c:pt>
                <c:pt idx="59">
                  <c:v>29500</c:v>
                </c:pt>
                <c:pt idx="60">
                  <c:v>30000</c:v>
                </c:pt>
                <c:pt idx="61">
                  <c:v>30500</c:v>
                </c:pt>
                <c:pt idx="62">
                  <c:v>31000</c:v>
                </c:pt>
                <c:pt idx="63">
                  <c:v>31500</c:v>
                </c:pt>
                <c:pt idx="64">
                  <c:v>32000</c:v>
                </c:pt>
                <c:pt idx="65">
                  <c:v>32500</c:v>
                </c:pt>
                <c:pt idx="66">
                  <c:v>33000</c:v>
                </c:pt>
                <c:pt idx="67">
                  <c:v>33500</c:v>
                </c:pt>
                <c:pt idx="68">
                  <c:v>34000</c:v>
                </c:pt>
                <c:pt idx="69">
                  <c:v>34500</c:v>
                </c:pt>
                <c:pt idx="70">
                  <c:v>35000</c:v>
                </c:pt>
                <c:pt idx="71">
                  <c:v>35500</c:v>
                </c:pt>
                <c:pt idx="72">
                  <c:v>36000</c:v>
                </c:pt>
                <c:pt idx="73">
                  <c:v>36500</c:v>
                </c:pt>
                <c:pt idx="74">
                  <c:v>37000</c:v>
                </c:pt>
                <c:pt idx="75">
                  <c:v>37500</c:v>
                </c:pt>
                <c:pt idx="76">
                  <c:v>38000</c:v>
                </c:pt>
                <c:pt idx="77">
                  <c:v>38500</c:v>
                </c:pt>
                <c:pt idx="78">
                  <c:v>39000</c:v>
                </c:pt>
                <c:pt idx="79">
                  <c:v>39500</c:v>
                </c:pt>
                <c:pt idx="80">
                  <c:v>40000</c:v>
                </c:pt>
                <c:pt idx="81">
                  <c:v>40500</c:v>
                </c:pt>
                <c:pt idx="82">
                  <c:v>41000</c:v>
                </c:pt>
                <c:pt idx="83">
                  <c:v>41500</c:v>
                </c:pt>
                <c:pt idx="84">
                  <c:v>42000</c:v>
                </c:pt>
                <c:pt idx="85">
                  <c:v>42500</c:v>
                </c:pt>
                <c:pt idx="86">
                  <c:v>43000</c:v>
                </c:pt>
                <c:pt idx="87">
                  <c:v>43500</c:v>
                </c:pt>
                <c:pt idx="88">
                  <c:v>44000</c:v>
                </c:pt>
                <c:pt idx="89">
                  <c:v>44500</c:v>
                </c:pt>
                <c:pt idx="90">
                  <c:v>45000</c:v>
                </c:pt>
                <c:pt idx="91">
                  <c:v>45500</c:v>
                </c:pt>
                <c:pt idx="92">
                  <c:v>46000</c:v>
                </c:pt>
                <c:pt idx="93">
                  <c:v>46500</c:v>
                </c:pt>
                <c:pt idx="94">
                  <c:v>47000</c:v>
                </c:pt>
                <c:pt idx="95">
                  <c:v>47500</c:v>
                </c:pt>
                <c:pt idx="96">
                  <c:v>48000</c:v>
                </c:pt>
                <c:pt idx="97">
                  <c:v>48500</c:v>
                </c:pt>
                <c:pt idx="98">
                  <c:v>49000</c:v>
                </c:pt>
                <c:pt idx="99">
                  <c:v>49500</c:v>
                </c:pt>
                <c:pt idx="100">
                  <c:v>50000</c:v>
                </c:pt>
              </c:numCache>
            </c:numRef>
          </c:cat>
          <c:val>
            <c:numRef>
              <c:f>Sheet3!$E$2:$E$102</c:f>
              <c:numCache>
                <c:formatCode>"$"#,##0</c:formatCode>
                <c:ptCount val="101"/>
                <c:pt idx="0">
                  <c:v>1.0318096191322035</c:v>
                </c:pt>
                <c:pt idx="1">
                  <c:v>515.90480956610179</c:v>
                </c:pt>
                <c:pt idx="2">
                  <c:v>1031.8096191322036</c:v>
                </c:pt>
                <c:pt idx="3">
                  <c:v>1547.714428698305</c:v>
                </c:pt>
                <c:pt idx="4">
                  <c:v>2063.6192382644072</c:v>
                </c:pt>
                <c:pt idx="5">
                  <c:v>2579.5240478305091</c:v>
                </c:pt>
                <c:pt idx="6">
                  <c:v>3095.4288573966101</c:v>
                </c:pt>
                <c:pt idx="7">
                  <c:v>3611.3336669627124</c:v>
                </c:pt>
                <c:pt idx="8">
                  <c:v>4127.2384765288143</c:v>
                </c:pt>
                <c:pt idx="9">
                  <c:v>4643.1432860949162</c:v>
                </c:pt>
                <c:pt idx="10">
                  <c:v>5159.0480956610181</c:v>
                </c:pt>
                <c:pt idx="11">
                  <c:v>5674.9529052271191</c:v>
                </c:pt>
                <c:pt idx="12">
                  <c:v>6190.8577147932201</c:v>
                </c:pt>
                <c:pt idx="13">
                  <c:v>6706.7625243593229</c:v>
                </c:pt>
                <c:pt idx="14">
                  <c:v>7222.6673339254248</c:v>
                </c:pt>
                <c:pt idx="15">
                  <c:v>7738.5721434915285</c:v>
                </c:pt>
                <c:pt idx="16">
                  <c:v>8254.4769530576286</c:v>
                </c:pt>
                <c:pt idx="17">
                  <c:v>8770.3817626237305</c:v>
                </c:pt>
                <c:pt idx="18">
                  <c:v>9286.2865721898324</c:v>
                </c:pt>
                <c:pt idx="19">
                  <c:v>9802.1913817559325</c:v>
                </c:pt>
                <c:pt idx="20">
                  <c:v>10318.096191322036</c:v>
                </c:pt>
                <c:pt idx="21">
                  <c:v>10834.001000888138</c:v>
                </c:pt>
                <c:pt idx="22">
                  <c:v>11349.905810454238</c:v>
                </c:pt>
                <c:pt idx="23">
                  <c:v>11865.81062002034</c:v>
                </c:pt>
                <c:pt idx="24">
                  <c:v>12381.71542958644</c:v>
                </c:pt>
                <c:pt idx="25">
                  <c:v>12897.620239152546</c:v>
                </c:pt>
                <c:pt idx="26">
                  <c:v>13413.525048718646</c:v>
                </c:pt>
                <c:pt idx="27">
                  <c:v>13929.429858284748</c:v>
                </c:pt>
                <c:pt idx="28">
                  <c:v>14445.33466785085</c:v>
                </c:pt>
                <c:pt idx="29">
                  <c:v>14961.239477416952</c:v>
                </c:pt>
                <c:pt idx="30">
                  <c:v>15477.144286983057</c:v>
                </c:pt>
                <c:pt idx="31">
                  <c:v>15993.049096549157</c:v>
                </c:pt>
                <c:pt idx="32">
                  <c:v>16508.953906115257</c:v>
                </c:pt>
                <c:pt idx="33">
                  <c:v>17024.858715681359</c:v>
                </c:pt>
                <c:pt idx="34">
                  <c:v>17540.763525247461</c:v>
                </c:pt>
                <c:pt idx="35">
                  <c:v>18056.668334813567</c:v>
                </c:pt>
                <c:pt idx="36">
                  <c:v>18572.573144379665</c:v>
                </c:pt>
                <c:pt idx="37">
                  <c:v>19088.477953945767</c:v>
                </c:pt>
                <c:pt idx="38">
                  <c:v>19604.382763511865</c:v>
                </c:pt>
                <c:pt idx="39">
                  <c:v>20120.287573077971</c:v>
                </c:pt>
                <c:pt idx="40">
                  <c:v>20636.192382644072</c:v>
                </c:pt>
                <c:pt idx="41">
                  <c:v>21152.097192210174</c:v>
                </c:pt>
                <c:pt idx="42">
                  <c:v>21668.002001776276</c:v>
                </c:pt>
                <c:pt idx="43">
                  <c:v>22183.906811342375</c:v>
                </c:pt>
                <c:pt idx="44">
                  <c:v>22699.811620908476</c:v>
                </c:pt>
                <c:pt idx="45">
                  <c:v>23215.716430474582</c:v>
                </c:pt>
                <c:pt idx="46">
                  <c:v>23731.62124004068</c:v>
                </c:pt>
                <c:pt idx="47">
                  <c:v>24247.526049606786</c:v>
                </c:pt>
                <c:pt idx="48">
                  <c:v>24763.43085917288</c:v>
                </c:pt>
                <c:pt idx="49">
                  <c:v>25279.33566873899</c:v>
                </c:pt>
                <c:pt idx="50">
                  <c:v>25795.240478305092</c:v>
                </c:pt>
                <c:pt idx="51">
                  <c:v>26311.145287871186</c:v>
                </c:pt>
                <c:pt idx="52">
                  <c:v>26827.050097437292</c:v>
                </c:pt>
                <c:pt idx="53">
                  <c:v>27342.954907003397</c:v>
                </c:pt>
                <c:pt idx="54">
                  <c:v>27858.859716569496</c:v>
                </c:pt>
                <c:pt idx="55">
                  <c:v>28374.764526135597</c:v>
                </c:pt>
                <c:pt idx="56">
                  <c:v>28890.669335701699</c:v>
                </c:pt>
                <c:pt idx="57">
                  <c:v>29406.574145267801</c:v>
                </c:pt>
                <c:pt idx="58">
                  <c:v>29922.478954833903</c:v>
                </c:pt>
                <c:pt idx="59">
                  <c:v>30438.383764400005</c:v>
                </c:pt>
                <c:pt idx="60">
                  <c:v>30954.288573966114</c:v>
                </c:pt>
                <c:pt idx="61">
                  <c:v>31470.193383532205</c:v>
                </c:pt>
                <c:pt idx="62">
                  <c:v>31986.098193098314</c:v>
                </c:pt>
                <c:pt idx="63">
                  <c:v>32502.003002664405</c:v>
                </c:pt>
                <c:pt idx="64">
                  <c:v>33017.907812230515</c:v>
                </c:pt>
                <c:pt idx="65">
                  <c:v>33533.812621796613</c:v>
                </c:pt>
                <c:pt idx="66">
                  <c:v>34049.717431362718</c:v>
                </c:pt>
                <c:pt idx="67">
                  <c:v>34565.622240928817</c:v>
                </c:pt>
                <c:pt idx="68">
                  <c:v>35081.527050494922</c:v>
                </c:pt>
                <c:pt idx="69">
                  <c:v>35597.43186006102</c:v>
                </c:pt>
                <c:pt idx="70">
                  <c:v>36113.336669627133</c:v>
                </c:pt>
                <c:pt idx="71">
                  <c:v>36629.241479193231</c:v>
                </c:pt>
                <c:pt idx="72">
                  <c:v>37145.14628875933</c:v>
                </c:pt>
                <c:pt idx="73">
                  <c:v>37661.051098325435</c:v>
                </c:pt>
                <c:pt idx="74">
                  <c:v>38176.955907891534</c:v>
                </c:pt>
                <c:pt idx="75">
                  <c:v>38692.860717457639</c:v>
                </c:pt>
                <c:pt idx="76">
                  <c:v>39208.76552702373</c:v>
                </c:pt>
                <c:pt idx="77">
                  <c:v>39724.670336589836</c:v>
                </c:pt>
                <c:pt idx="78">
                  <c:v>40240.575146155941</c:v>
                </c:pt>
                <c:pt idx="79">
                  <c:v>40756.479955722039</c:v>
                </c:pt>
                <c:pt idx="80">
                  <c:v>41272.384765288145</c:v>
                </c:pt>
                <c:pt idx="81">
                  <c:v>41788.289574854236</c:v>
                </c:pt>
                <c:pt idx="82">
                  <c:v>42304.194384420349</c:v>
                </c:pt>
                <c:pt idx="83">
                  <c:v>42820.099193986454</c:v>
                </c:pt>
                <c:pt idx="84">
                  <c:v>43336.004003552553</c:v>
                </c:pt>
                <c:pt idx="85">
                  <c:v>43851.908813118651</c:v>
                </c:pt>
                <c:pt idx="86">
                  <c:v>44367.813622684749</c:v>
                </c:pt>
                <c:pt idx="87">
                  <c:v>44883.718432250855</c:v>
                </c:pt>
                <c:pt idx="88">
                  <c:v>45399.623241816953</c:v>
                </c:pt>
                <c:pt idx="89">
                  <c:v>45915.528051383058</c:v>
                </c:pt>
                <c:pt idx="90">
                  <c:v>46431.432860949164</c:v>
                </c:pt>
                <c:pt idx="91">
                  <c:v>46947.33767051527</c:v>
                </c:pt>
                <c:pt idx="92">
                  <c:v>47463.242480081361</c:v>
                </c:pt>
                <c:pt idx="93">
                  <c:v>47979.147289647466</c:v>
                </c:pt>
                <c:pt idx="94">
                  <c:v>48495.052099213572</c:v>
                </c:pt>
                <c:pt idx="95">
                  <c:v>49010.956908779684</c:v>
                </c:pt>
                <c:pt idx="96">
                  <c:v>49526.861718345761</c:v>
                </c:pt>
                <c:pt idx="97">
                  <c:v>50042.766527911874</c:v>
                </c:pt>
                <c:pt idx="98">
                  <c:v>50558.671337477979</c:v>
                </c:pt>
                <c:pt idx="99">
                  <c:v>51074.576147044078</c:v>
                </c:pt>
                <c:pt idx="100">
                  <c:v>51590.480956610183</c:v>
                </c:pt>
              </c:numCache>
            </c:numRef>
          </c:val>
          <c:smooth val="0"/>
          <c:extLst>
            <c:ext xmlns:c16="http://schemas.microsoft.com/office/drawing/2014/chart" uri="{C3380CC4-5D6E-409C-BE32-E72D297353CC}">
              <c16:uniqueId val="{00000003-F740-4C60-A5A2-3AAD5AF36372}"/>
            </c:ext>
          </c:extLst>
        </c:ser>
        <c:dLbls>
          <c:showLegendKey val="0"/>
          <c:showVal val="0"/>
          <c:showCatName val="0"/>
          <c:showSerName val="0"/>
          <c:showPercent val="0"/>
          <c:showBubbleSize val="0"/>
        </c:dLbls>
        <c:smooth val="0"/>
        <c:axId val="337406944"/>
        <c:axId val="334748192"/>
      </c:lineChart>
      <c:catAx>
        <c:axId val="337406944"/>
        <c:scaling>
          <c:orientation val="minMax"/>
        </c:scaling>
        <c:delete val="0"/>
        <c:axPos val="b"/>
        <c:numFmt formatCode="&quot;$&quot;#,##0_);[Red]\(&quot;$&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748192"/>
        <c:crosses val="autoZero"/>
        <c:auto val="1"/>
        <c:lblAlgn val="ctr"/>
        <c:lblOffset val="100"/>
        <c:noMultiLvlLbl val="0"/>
      </c:catAx>
      <c:valAx>
        <c:axId val="3347481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40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Sheet4!$D$2</c:f>
              <c:strCache>
                <c:ptCount val="1"/>
                <c:pt idx="0">
                  <c:v>$5,000</c:v>
                </c:pt>
              </c:strCache>
            </c:strRef>
          </c:tx>
          <c:spPr>
            <a:ln w="28575" cap="rnd">
              <a:solidFill>
                <a:schemeClr val="accent1"/>
              </a:solidFill>
              <a:round/>
            </a:ln>
            <a:effectLst/>
          </c:spPr>
          <c:marker>
            <c:symbol val="none"/>
          </c:marker>
          <c:cat>
            <c:numRef>
              <c:f>Sheet4!$A$3:$A$175</c:f>
              <c:numCache>
                <c:formatCode>"$"#,##0_);[Red]\("$"#,##0\)</c:formatCode>
                <c:ptCount val="173"/>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numCache>
            </c:numRef>
          </c:cat>
          <c:val>
            <c:numRef>
              <c:f>Sheet4!$D$3:$D$175</c:f>
              <c:numCache>
                <c:formatCode>General</c:formatCode>
                <c:ptCount val="173"/>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21</c:v>
                </c:pt>
                <c:pt idx="19">
                  <c:v>21</c:v>
                </c:pt>
                <c:pt idx="20">
                  <c:v>20</c:v>
                </c:pt>
                <c:pt idx="21">
                  <c:v>19</c:v>
                </c:pt>
                <c:pt idx="22">
                  <c:v>18</c:v>
                </c:pt>
                <c:pt idx="23">
                  <c:v>17</c:v>
                </c:pt>
                <c:pt idx="24">
                  <c:v>16</c:v>
                </c:pt>
                <c:pt idx="25">
                  <c:v>15</c:v>
                </c:pt>
                <c:pt idx="26">
                  <c:v>15</c:v>
                </c:pt>
                <c:pt idx="27">
                  <c:v>14</c:v>
                </c:pt>
                <c:pt idx="28">
                  <c:v>13</c:v>
                </c:pt>
                <c:pt idx="29">
                  <c:v>12</c:v>
                </c:pt>
                <c:pt idx="30">
                  <c:v>11</c:v>
                </c:pt>
                <c:pt idx="31">
                  <c:v>11</c:v>
                </c:pt>
                <c:pt idx="32">
                  <c:v>10</c:v>
                </c:pt>
                <c:pt idx="33">
                  <c:v>9</c:v>
                </c:pt>
                <c:pt idx="34">
                  <c:v>9</c:v>
                </c:pt>
                <c:pt idx="35">
                  <c:v>8</c:v>
                </c:pt>
                <c:pt idx="36">
                  <c:v>8</c:v>
                </c:pt>
                <c:pt idx="37">
                  <c:v>7</c:v>
                </c:pt>
                <c:pt idx="38">
                  <c:v>7</c:v>
                </c:pt>
                <c:pt idx="39">
                  <c:v>7</c:v>
                </c:pt>
                <c:pt idx="40">
                  <c:v>7</c:v>
                </c:pt>
                <c:pt idx="41">
                  <c:v>6</c:v>
                </c:pt>
                <c:pt idx="42">
                  <c:v>6</c:v>
                </c:pt>
                <c:pt idx="43">
                  <c:v>6</c:v>
                </c:pt>
                <c:pt idx="44">
                  <c:v>6</c:v>
                </c:pt>
                <c:pt idx="45">
                  <c:v>5</c:v>
                </c:pt>
                <c:pt idx="46">
                  <c:v>5</c:v>
                </c:pt>
                <c:pt idx="47">
                  <c:v>5</c:v>
                </c:pt>
                <c:pt idx="48">
                  <c:v>5</c:v>
                </c:pt>
                <c:pt idx="49">
                  <c:v>5</c:v>
                </c:pt>
                <c:pt idx="50">
                  <c:v>5</c:v>
                </c:pt>
                <c:pt idx="51">
                  <c:v>5</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pt idx="151">
                  <c:v>2</c:v>
                </c:pt>
                <c:pt idx="152">
                  <c:v>2</c:v>
                </c:pt>
                <c:pt idx="153">
                  <c:v>2</c:v>
                </c:pt>
                <c:pt idx="154">
                  <c:v>2</c:v>
                </c:pt>
                <c:pt idx="155">
                  <c:v>2</c:v>
                </c:pt>
                <c:pt idx="156">
                  <c:v>2</c:v>
                </c:pt>
                <c:pt idx="157">
                  <c:v>2</c:v>
                </c:pt>
                <c:pt idx="158">
                  <c:v>2</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2</c:v>
                </c:pt>
              </c:numCache>
            </c:numRef>
          </c:val>
          <c:smooth val="0"/>
          <c:extLst>
            <c:ext xmlns:c16="http://schemas.microsoft.com/office/drawing/2014/chart" uri="{C3380CC4-5D6E-409C-BE32-E72D297353CC}">
              <c16:uniqueId val="{00000000-247B-4D5F-A264-54A9AC6604A4}"/>
            </c:ext>
          </c:extLst>
        </c:ser>
        <c:ser>
          <c:idx val="1"/>
          <c:order val="1"/>
          <c:tx>
            <c:strRef>
              <c:f>Sheet4!$E$2</c:f>
              <c:strCache>
                <c:ptCount val="1"/>
                <c:pt idx="0">
                  <c:v>$10,000</c:v>
                </c:pt>
              </c:strCache>
            </c:strRef>
          </c:tx>
          <c:spPr>
            <a:ln w="28575" cap="rnd">
              <a:solidFill>
                <a:schemeClr val="accent2"/>
              </a:solidFill>
              <a:round/>
            </a:ln>
            <a:effectLst/>
          </c:spPr>
          <c:marker>
            <c:symbol val="none"/>
          </c:marker>
          <c:cat>
            <c:numRef>
              <c:f>Sheet4!$A$3:$A$175</c:f>
              <c:numCache>
                <c:formatCode>"$"#,##0_);[Red]\("$"#,##0\)</c:formatCode>
                <c:ptCount val="173"/>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numCache>
            </c:numRef>
          </c:cat>
          <c:val>
            <c:numRef>
              <c:f>Sheet4!$E$3:$E$175</c:f>
              <c:numCache>
                <c:formatCode>General</c:formatCode>
                <c:ptCount val="173"/>
                <c:pt idx="0">
                  <c:v>43</c:v>
                </c:pt>
                <c:pt idx="1">
                  <c:v>43</c:v>
                </c:pt>
                <c:pt idx="2">
                  <c:v>43</c:v>
                </c:pt>
                <c:pt idx="3">
                  <c:v>43</c:v>
                </c:pt>
                <c:pt idx="4">
                  <c:v>43</c:v>
                </c:pt>
                <c:pt idx="5">
                  <c:v>43</c:v>
                </c:pt>
                <c:pt idx="6">
                  <c:v>43</c:v>
                </c:pt>
                <c:pt idx="7">
                  <c:v>43</c:v>
                </c:pt>
                <c:pt idx="8">
                  <c:v>42</c:v>
                </c:pt>
                <c:pt idx="9">
                  <c:v>41</c:v>
                </c:pt>
                <c:pt idx="10">
                  <c:v>39</c:v>
                </c:pt>
                <c:pt idx="11">
                  <c:v>38</c:v>
                </c:pt>
                <c:pt idx="12">
                  <c:v>36</c:v>
                </c:pt>
                <c:pt idx="13">
                  <c:v>35</c:v>
                </c:pt>
                <c:pt idx="14">
                  <c:v>34</c:v>
                </c:pt>
                <c:pt idx="15">
                  <c:v>32</c:v>
                </c:pt>
                <c:pt idx="16">
                  <c:v>31</c:v>
                </c:pt>
                <c:pt idx="17">
                  <c:v>30</c:v>
                </c:pt>
                <c:pt idx="18">
                  <c:v>28</c:v>
                </c:pt>
                <c:pt idx="19">
                  <c:v>27</c:v>
                </c:pt>
                <c:pt idx="20">
                  <c:v>26</c:v>
                </c:pt>
                <c:pt idx="21">
                  <c:v>25</c:v>
                </c:pt>
                <c:pt idx="22">
                  <c:v>24</c:v>
                </c:pt>
                <c:pt idx="23">
                  <c:v>23</c:v>
                </c:pt>
                <c:pt idx="24">
                  <c:v>22</c:v>
                </c:pt>
                <c:pt idx="25">
                  <c:v>21</c:v>
                </c:pt>
                <c:pt idx="26">
                  <c:v>20</c:v>
                </c:pt>
                <c:pt idx="27">
                  <c:v>19</c:v>
                </c:pt>
                <c:pt idx="28">
                  <c:v>18</c:v>
                </c:pt>
                <c:pt idx="29">
                  <c:v>17</c:v>
                </c:pt>
                <c:pt idx="30">
                  <c:v>16</c:v>
                </c:pt>
                <c:pt idx="31">
                  <c:v>15</c:v>
                </c:pt>
                <c:pt idx="32">
                  <c:v>14</c:v>
                </c:pt>
                <c:pt idx="33">
                  <c:v>14</c:v>
                </c:pt>
                <c:pt idx="34">
                  <c:v>13</c:v>
                </c:pt>
                <c:pt idx="35">
                  <c:v>12</c:v>
                </c:pt>
                <c:pt idx="36">
                  <c:v>12</c:v>
                </c:pt>
                <c:pt idx="37">
                  <c:v>11</c:v>
                </c:pt>
                <c:pt idx="38">
                  <c:v>11</c:v>
                </c:pt>
                <c:pt idx="39">
                  <c:v>10</c:v>
                </c:pt>
                <c:pt idx="40">
                  <c:v>10</c:v>
                </c:pt>
                <c:pt idx="41">
                  <c:v>10</c:v>
                </c:pt>
                <c:pt idx="42">
                  <c:v>9</c:v>
                </c:pt>
                <c:pt idx="43">
                  <c:v>9</c:v>
                </c:pt>
                <c:pt idx="44">
                  <c:v>9</c:v>
                </c:pt>
                <c:pt idx="45">
                  <c:v>9</c:v>
                </c:pt>
                <c:pt idx="46">
                  <c:v>8</c:v>
                </c:pt>
                <c:pt idx="47">
                  <c:v>8</c:v>
                </c:pt>
                <c:pt idx="48">
                  <c:v>8</c:v>
                </c:pt>
                <c:pt idx="49">
                  <c:v>8</c:v>
                </c:pt>
                <c:pt idx="50">
                  <c:v>7</c:v>
                </c:pt>
                <c:pt idx="51">
                  <c:v>7</c:v>
                </c:pt>
                <c:pt idx="52">
                  <c:v>7</c:v>
                </c:pt>
                <c:pt idx="53">
                  <c:v>7</c:v>
                </c:pt>
                <c:pt idx="54">
                  <c:v>7</c:v>
                </c:pt>
                <c:pt idx="55">
                  <c:v>7</c:v>
                </c:pt>
                <c:pt idx="56">
                  <c:v>6</c:v>
                </c:pt>
                <c:pt idx="57">
                  <c:v>6</c:v>
                </c:pt>
                <c:pt idx="58">
                  <c:v>6</c:v>
                </c:pt>
                <c:pt idx="59">
                  <c:v>6</c:v>
                </c:pt>
                <c:pt idx="60">
                  <c:v>6</c:v>
                </c:pt>
                <c:pt idx="61">
                  <c:v>6</c:v>
                </c:pt>
                <c:pt idx="62">
                  <c:v>6</c:v>
                </c:pt>
                <c:pt idx="63">
                  <c:v>6</c:v>
                </c:pt>
                <c:pt idx="64">
                  <c:v>6</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4</c:v>
                </c:pt>
                <c:pt idx="80">
                  <c:v>4</c:v>
                </c:pt>
                <c:pt idx="81">
                  <c:v>4</c:v>
                </c:pt>
                <c:pt idx="82">
                  <c:v>4</c:v>
                </c:pt>
                <c:pt idx="83">
                  <c:v>4</c:v>
                </c:pt>
                <c:pt idx="84">
                  <c:v>4</c:v>
                </c:pt>
                <c:pt idx="85">
                  <c:v>4</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numCache>
            </c:numRef>
          </c:val>
          <c:smooth val="0"/>
          <c:extLst>
            <c:ext xmlns:c16="http://schemas.microsoft.com/office/drawing/2014/chart" uri="{C3380CC4-5D6E-409C-BE32-E72D297353CC}">
              <c16:uniqueId val="{00000001-247B-4D5F-A264-54A9AC6604A4}"/>
            </c:ext>
          </c:extLst>
        </c:ser>
        <c:ser>
          <c:idx val="2"/>
          <c:order val="2"/>
          <c:tx>
            <c:strRef>
              <c:f>Sheet4!$F$2</c:f>
              <c:strCache>
                <c:ptCount val="1"/>
                <c:pt idx="0">
                  <c:v>$20,000</c:v>
                </c:pt>
              </c:strCache>
            </c:strRef>
          </c:tx>
          <c:spPr>
            <a:ln w="28575" cap="rnd">
              <a:solidFill>
                <a:schemeClr val="accent3"/>
              </a:solidFill>
              <a:round/>
            </a:ln>
            <a:effectLst/>
          </c:spPr>
          <c:marker>
            <c:symbol val="none"/>
          </c:marker>
          <c:cat>
            <c:numRef>
              <c:f>Sheet4!$A$3:$A$175</c:f>
              <c:numCache>
                <c:formatCode>"$"#,##0_);[Red]\("$"#,##0\)</c:formatCode>
                <c:ptCount val="173"/>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numCache>
            </c:numRef>
          </c:cat>
          <c:val>
            <c:numRef>
              <c:f>Sheet4!$F$3:$F$175</c:f>
              <c:numCache>
                <c:formatCode>General</c:formatCode>
                <c:ptCount val="173"/>
                <c:pt idx="0">
                  <c:v>60</c:v>
                </c:pt>
                <c:pt idx="1">
                  <c:v>60</c:v>
                </c:pt>
                <c:pt idx="2">
                  <c:v>60</c:v>
                </c:pt>
                <c:pt idx="3">
                  <c:v>60</c:v>
                </c:pt>
                <c:pt idx="4">
                  <c:v>60</c:v>
                </c:pt>
                <c:pt idx="5">
                  <c:v>59</c:v>
                </c:pt>
                <c:pt idx="6">
                  <c:v>56</c:v>
                </c:pt>
                <c:pt idx="7">
                  <c:v>54</c:v>
                </c:pt>
                <c:pt idx="8">
                  <c:v>52</c:v>
                </c:pt>
                <c:pt idx="9">
                  <c:v>50</c:v>
                </c:pt>
                <c:pt idx="10">
                  <c:v>48</c:v>
                </c:pt>
                <c:pt idx="11">
                  <c:v>46</c:v>
                </c:pt>
                <c:pt idx="12">
                  <c:v>44</c:v>
                </c:pt>
                <c:pt idx="13">
                  <c:v>42</c:v>
                </c:pt>
                <c:pt idx="14">
                  <c:v>41</c:v>
                </c:pt>
                <c:pt idx="15">
                  <c:v>39</c:v>
                </c:pt>
                <c:pt idx="16">
                  <c:v>38</c:v>
                </c:pt>
                <c:pt idx="17">
                  <c:v>36</c:v>
                </c:pt>
                <c:pt idx="18">
                  <c:v>35</c:v>
                </c:pt>
                <c:pt idx="19">
                  <c:v>34</c:v>
                </c:pt>
                <c:pt idx="20">
                  <c:v>32</c:v>
                </c:pt>
                <c:pt idx="21">
                  <c:v>31</c:v>
                </c:pt>
                <c:pt idx="22">
                  <c:v>30</c:v>
                </c:pt>
                <c:pt idx="23">
                  <c:v>29</c:v>
                </c:pt>
                <c:pt idx="24">
                  <c:v>28</c:v>
                </c:pt>
                <c:pt idx="25">
                  <c:v>27</c:v>
                </c:pt>
                <c:pt idx="26">
                  <c:v>26</c:v>
                </c:pt>
                <c:pt idx="27">
                  <c:v>25</c:v>
                </c:pt>
                <c:pt idx="28">
                  <c:v>24</c:v>
                </c:pt>
                <c:pt idx="29">
                  <c:v>23</c:v>
                </c:pt>
                <c:pt idx="30">
                  <c:v>22</c:v>
                </c:pt>
                <c:pt idx="31">
                  <c:v>21</c:v>
                </c:pt>
                <c:pt idx="32">
                  <c:v>20</c:v>
                </c:pt>
                <c:pt idx="33">
                  <c:v>20</c:v>
                </c:pt>
                <c:pt idx="34">
                  <c:v>19</c:v>
                </c:pt>
                <c:pt idx="35">
                  <c:v>18</c:v>
                </c:pt>
                <c:pt idx="36">
                  <c:v>18</c:v>
                </c:pt>
                <c:pt idx="37">
                  <c:v>17</c:v>
                </c:pt>
                <c:pt idx="38">
                  <c:v>16</c:v>
                </c:pt>
                <c:pt idx="39">
                  <c:v>16</c:v>
                </c:pt>
                <c:pt idx="40">
                  <c:v>15</c:v>
                </c:pt>
                <c:pt idx="41">
                  <c:v>15</c:v>
                </c:pt>
                <c:pt idx="42">
                  <c:v>14</c:v>
                </c:pt>
                <c:pt idx="43">
                  <c:v>14</c:v>
                </c:pt>
                <c:pt idx="44">
                  <c:v>14</c:v>
                </c:pt>
                <c:pt idx="45">
                  <c:v>13</c:v>
                </c:pt>
                <c:pt idx="46">
                  <c:v>13</c:v>
                </c:pt>
                <c:pt idx="47">
                  <c:v>13</c:v>
                </c:pt>
                <c:pt idx="48">
                  <c:v>12</c:v>
                </c:pt>
                <c:pt idx="49">
                  <c:v>12</c:v>
                </c:pt>
                <c:pt idx="50">
                  <c:v>12</c:v>
                </c:pt>
                <c:pt idx="51">
                  <c:v>11</c:v>
                </c:pt>
                <c:pt idx="52">
                  <c:v>11</c:v>
                </c:pt>
                <c:pt idx="53">
                  <c:v>11</c:v>
                </c:pt>
                <c:pt idx="54">
                  <c:v>11</c:v>
                </c:pt>
                <c:pt idx="55">
                  <c:v>10</c:v>
                </c:pt>
                <c:pt idx="56">
                  <c:v>10</c:v>
                </c:pt>
                <c:pt idx="57">
                  <c:v>10</c:v>
                </c:pt>
                <c:pt idx="58">
                  <c:v>10</c:v>
                </c:pt>
                <c:pt idx="59">
                  <c:v>10</c:v>
                </c:pt>
                <c:pt idx="60">
                  <c:v>9</c:v>
                </c:pt>
                <c:pt idx="61">
                  <c:v>9</c:v>
                </c:pt>
                <c:pt idx="62">
                  <c:v>9</c:v>
                </c:pt>
                <c:pt idx="63">
                  <c:v>9</c:v>
                </c:pt>
                <c:pt idx="64">
                  <c:v>9</c:v>
                </c:pt>
                <c:pt idx="65">
                  <c:v>9</c:v>
                </c:pt>
                <c:pt idx="66">
                  <c:v>8</c:v>
                </c:pt>
                <c:pt idx="67">
                  <c:v>8</c:v>
                </c:pt>
                <c:pt idx="68">
                  <c:v>8</c:v>
                </c:pt>
                <c:pt idx="69">
                  <c:v>8</c:v>
                </c:pt>
                <c:pt idx="70">
                  <c:v>8</c:v>
                </c:pt>
                <c:pt idx="71">
                  <c:v>8</c:v>
                </c:pt>
                <c:pt idx="72">
                  <c:v>8</c:v>
                </c:pt>
                <c:pt idx="73">
                  <c:v>8</c:v>
                </c:pt>
                <c:pt idx="74">
                  <c:v>8</c:v>
                </c:pt>
                <c:pt idx="75">
                  <c:v>7</c:v>
                </c:pt>
                <c:pt idx="76">
                  <c:v>7</c:v>
                </c:pt>
                <c:pt idx="77">
                  <c:v>7</c:v>
                </c:pt>
                <c:pt idx="78">
                  <c:v>7</c:v>
                </c:pt>
                <c:pt idx="79">
                  <c:v>7</c:v>
                </c:pt>
                <c:pt idx="80">
                  <c:v>7</c:v>
                </c:pt>
                <c:pt idx="81">
                  <c:v>7</c:v>
                </c:pt>
                <c:pt idx="82">
                  <c:v>7</c:v>
                </c:pt>
                <c:pt idx="83">
                  <c:v>7</c:v>
                </c:pt>
                <c:pt idx="84">
                  <c:v>7</c:v>
                </c:pt>
                <c:pt idx="85">
                  <c:v>7</c:v>
                </c:pt>
                <c:pt idx="86">
                  <c:v>6</c:v>
                </c:pt>
                <c:pt idx="87">
                  <c:v>6</c:v>
                </c:pt>
                <c:pt idx="88">
                  <c:v>6</c:v>
                </c:pt>
                <c:pt idx="89">
                  <c:v>6</c:v>
                </c:pt>
                <c:pt idx="90">
                  <c:v>6</c:v>
                </c:pt>
                <c:pt idx="91">
                  <c:v>6</c:v>
                </c:pt>
                <c:pt idx="92">
                  <c:v>6</c:v>
                </c:pt>
                <c:pt idx="93">
                  <c:v>6</c:v>
                </c:pt>
                <c:pt idx="94">
                  <c:v>6</c:v>
                </c:pt>
                <c:pt idx="95">
                  <c:v>6</c:v>
                </c:pt>
                <c:pt idx="96">
                  <c:v>6</c:v>
                </c:pt>
                <c:pt idx="97">
                  <c:v>6</c:v>
                </c:pt>
                <c:pt idx="98">
                  <c:v>6</c:v>
                </c:pt>
                <c:pt idx="99">
                  <c:v>6</c:v>
                </c:pt>
                <c:pt idx="100">
                  <c:v>6</c:v>
                </c:pt>
                <c:pt idx="101">
                  <c:v>6</c:v>
                </c:pt>
                <c:pt idx="102">
                  <c:v>6</c:v>
                </c:pt>
                <c:pt idx="103">
                  <c:v>6</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pt idx="130">
                  <c:v>5</c:v>
                </c:pt>
                <c:pt idx="131">
                  <c:v>5</c:v>
                </c:pt>
                <c:pt idx="132">
                  <c:v>4</c:v>
                </c:pt>
                <c:pt idx="133">
                  <c:v>4</c:v>
                </c:pt>
                <c:pt idx="134">
                  <c:v>4</c:v>
                </c:pt>
                <c:pt idx="135">
                  <c:v>4</c:v>
                </c:pt>
                <c:pt idx="136">
                  <c:v>4</c:v>
                </c:pt>
                <c:pt idx="137">
                  <c:v>4</c:v>
                </c:pt>
                <c:pt idx="138">
                  <c:v>4</c:v>
                </c:pt>
                <c:pt idx="139">
                  <c:v>4</c:v>
                </c:pt>
                <c:pt idx="140">
                  <c:v>4</c:v>
                </c:pt>
                <c:pt idx="141">
                  <c:v>4</c:v>
                </c:pt>
                <c:pt idx="142">
                  <c:v>4</c:v>
                </c:pt>
                <c:pt idx="143">
                  <c:v>4</c:v>
                </c:pt>
                <c:pt idx="144">
                  <c:v>4</c:v>
                </c:pt>
                <c:pt idx="145">
                  <c:v>4</c:v>
                </c:pt>
                <c:pt idx="146">
                  <c:v>4</c:v>
                </c:pt>
                <c:pt idx="147">
                  <c:v>4</c:v>
                </c:pt>
                <c:pt idx="148">
                  <c:v>4</c:v>
                </c:pt>
                <c:pt idx="149">
                  <c:v>4</c:v>
                </c:pt>
                <c:pt idx="150">
                  <c:v>4</c:v>
                </c:pt>
                <c:pt idx="151">
                  <c:v>4</c:v>
                </c:pt>
                <c:pt idx="152">
                  <c:v>4</c:v>
                </c:pt>
                <c:pt idx="153">
                  <c:v>4</c:v>
                </c:pt>
                <c:pt idx="154">
                  <c:v>4</c:v>
                </c:pt>
                <c:pt idx="155">
                  <c:v>4</c:v>
                </c:pt>
                <c:pt idx="156">
                  <c:v>4</c:v>
                </c:pt>
                <c:pt idx="157">
                  <c:v>4</c:v>
                </c:pt>
                <c:pt idx="158">
                  <c:v>4</c:v>
                </c:pt>
                <c:pt idx="159">
                  <c:v>4</c:v>
                </c:pt>
                <c:pt idx="160">
                  <c:v>4</c:v>
                </c:pt>
                <c:pt idx="161">
                  <c:v>4</c:v>
                </c:pt>
                <c:pt idx="162">
                  <c:v>4</c:v>
                </c:pt>
                <c:pt idx="163">
                  <c:v>4</c:v>
                </c:pt>
                <c:pt idx="164">
                  <c:v>4</c:v>
                </c:pt>
                <c:pt idx="165">
                  <c:v>4</c:v>
                </c:pt>
                <c:pt idx="166">
                  <c:v>4</c:v>
                </c:pt>
                <c:pt idx="167">
                  <c:v>4</c:v>
                </c:pt>
                <c:pt idx="168">
                  <c:v>4</c:v>
                </c:pt>
                <c:pt idx="169">
                  <c:v>4</c:v>
                </c:pt>
                <c:pt idx="170">
                  <c:v>4</c:v>
                </c:pt>
                <c:pt idx="171">
                  <c:v>4</c:v>
                </c:pt>
                <c:pt idx="172">
                  <c:v>4</c:v>
                </c:pt>
              </c:numCache>
            </c:numRef>
          </c:val>
          <c:smooth val="0"/>
          <c:extLst>
            <c:ext xmlns:c16="http://schemas.microsoft.com/office/drawing/2014/chart" uri="{C3380CC4-5D6E-409C-BE32-E72D297353CC}">
              <c16:uniqueId val="{00000002-247B-4D5F-A264-54A9AC6604A4}"/>
            </c:ext>
          </c:extLst>
        </c:ser>
        <c:ser>
          <c:idx val="3"/>
          <c:order val="3"/>
          <c:tx>
            <c:strRef>
              <c:f>Sheet4!$G$2</c:f>
              <c:strCache>
                <c:ptCount val="1"/>
                <c:pt idx="0">
                  <c:v>$30,000</c:v>
                </c:pt>
              </c:strCache>
            </c:strRef>
          </c:tx>
          <c:spPr>
            <a:ln w="28575" cap="rnd">
              <a:solidFill>
                <a:schemeClr val="accent4"/>
              </a:solidFill>
              <a:round/>
            </a:ln>
            <a:effectLst/>
          </c:spPr>
          <c:marker>
            <c:symbol val="none"/>
          </c:marker>
          <c:cat>
            <c:numRef>
              <c:f>Sheet4!$A$3:$A$175</c:f>
              <c:numCache>
                <c:formatCode>"$"#,##0_);[Red]\("$"#,##0\)</c:formatCode>
                <c:ptCount val="173"/>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numCache>
            </c:numRef>
          </c:cat>
          <c:val>
            <c:numRef>
              <c:f>Sheet4!$G$3:$G$175</c:f>
              <c:numCache>
                <c:formatCode>General</c:formatCode>
                <c:ptCount val="173"/>
                <c:pt idx="0">
                  <c:v>60</c:v>
                </c:pt>
                <c:pt idx="1">
                  <c:v>60</c:v>
                </c:pt>
                <c:pt idx="2">
                  <c:v>60</c:v>
                </c:pt>
                <c:pt idx="3">
                  <c:v>60</c:v>
                </c:pt>
                <c:pt idx="4">
                  <c:v>60</c:v>
                </c:pt>
                <c:pt idx="5">
                  <c:v>60</c:v>
                </c:pt>
                <c:pt idx="6">
                  <c:v>60</c:v>
                </c:pt>
                <c:pt idx="7">
                  <c:v>58</c:v>
                </c:pt>
                <c:pt idx="8">
                  <c:v>56</c:v>
                </c:pt>
                <c:pt idx="9">
                  <c:v>54</c:v>
                </c:pt>
                <c:pt idx="10">
                  <c:v>52</c:v>
                </c:pt>
                <c:pt idx="11">
                  <c:v>50</c:v>
                </c:pt>
                <c:pt idx="12">
                  <c:v>48</c:v>
                </c:pt>
                <c:pt idx="13">
                  <c:v>47</c:v>
                </c:pt>
                <c:pt idx="14">
                  <c:v>45</c:v>
                </c:pt>
                <c:pt idx="15">
                  <c:v>44</c:v>
                </c:pt>
                <c:pt idx="16">
                  <c:v>42</c:v>
                </c:pt>
                <c:pt idx="17">
                  <c:v>41</c:v>
                </c:pt>
                <c:pt idx="18">
                  <c:v>39</c:v>
                </c:pt>
                <c:pt idx="19">
                  <c:v>38</c:v>
                </c:pt>
                <c:pt idx="20">
                  <c:v>37</c:v>
                </c:pt>
                <c:pt idx="21">
                  <c:v>36</c:v>
                </c:pt>
                <c:pt idx="22">
                  <c:v>34</c:v>
                </c:pt>
                <c:pt idx="23">
                  <c:v>33</c:v>
                </c:pt>
                <c:pt idx="24">
                  <c:v>32</c:v>
                </c:pt>
                <c:pt idx="25">
                  <c:v>31</c:v>
                </c:pt>
                <c:pt idx="26">
                  <c:v>30</c:v>
                </c:pt>
                <c:pt idx="27">
                  <c:v>29</c:v>
                </c:pt>
                <c:pt idx="28">
                  <c:v>28</c:v>
                </c:pt>
                <c:pt idx="29">
                  <c:v>27</c:v>
                </c:pt>
                <c:pt idx="30">
                  <c:v>26</c:v>
                </c:pt>
                <c:pt idx="31">
                  <c:v>25</c:v>
                </c:pt>
                <c:pt idx="32">
                  <c:v>25</c:v>
                </c:pt>
                <c:pt idx="33">
                  <c:v>24</c:v>
                </c:pt>
                <c:pt idx="34">
                  <c:v>23</c:v>
                </c:pt>
                <c:pt idx="35">
                  <c:v>22</c:v>
                </c:pt>
                <c:pt idx="36">
                  <c:v>22</c:v>
                </c:pt>
                <c:pt idx="37">
                  <c:v>21</c:v>
                </c:pt>
                <c:pt idx="38">
                  <c:v>20</c:v>
                </c:pt>
                <c:pt idx="39">
                  <c:v>20</c:v>
                </c:pt>
                <c:pt idx="40">
                  <c:v>19</c:v>
                </c:pt>
                <c:pt idx="41">
                  <c:v>19</c:v>
                </c:pt>
                <c:pt idx="42">
                  <c:v>18</c:v>
                </c:pt>
                <c:pt idx="43">
                  <c:v>18</c:v>
                </c:pt>
                <c:pt idx="44">
                  <c:v>17</c:v>
                </c:pt>
                <c:pt idx="45">
                  <c:v>17</c:v>
                </c:pt>
                <c:pt idx="46">
                  <c:v>17</c:v>
                </c:pt>
                <c:pt idx="47">
                  <c:v>16</c:v>
                </c:pt>
                <c:pt idx="48">
                  <c:v>16</c:v>
                </c:pt>
                <c:pt idx="49">
                  <c:v>15</c:v>
                </c:pt>
                <c:pt idx="50">
                  <c:v>15</c:v>
                </c:pt>
                <c:pt idx="51">
                  <c:v>15</c:v>
                </c:pt>
                <c:pt idx="52">
                  <c:v>14</c:v>
                </c:pt>
                <c:pt idx="53">
                  <c:v>14</c:v>
                </c:pt>
                <c:pt idx="54">
                  <c:v>14</c:v>
                </c:pt>
                <c:pt idx="55">
                  <c:v>14</c:v>
                </c:pt>
                <c:pt idx="56">
                  <c:v>13</c:v>
                </c:pt>
                <c:pt idx="57">
                  <c:v>13</c:v>
                </c:pt>
                <c:pt idx="58">
                  <c:v>13</c:v>
                </c:pt>
                <c:pt idx="59">
                  <c:v>13</c:v>
                </c:pt>
                <c:pt idx="60">
                  <c:v>12</c:v>
                </c:pt>
                <c:pt idx="61">
                  <c:v>12</c:v>
                </c:pt>
                <c:pt idx="62">
                  <c:v>12</c:v>
                </c:pt>
                <c:pt idx="63">
                  <c:v>12</c:v>
                </c:pt>
                <c:pt idx="64">
                  <c:v>12</c:v>
                </c:pt>
                <c:pt idx="65">
                  <c:v>11</c:v>
                </c:pt>
                <c:pt idx="66">
                  <c:v>11</c:v>
                </c:pt>
                <c:pt idx="67">
                  <c:v>11</c:v>
                </c:pt>
                <c:pt idx="68">
                  <c:v>11</c:v>
                </c:pt>
                <c:pt idx="69">
                  <c:v>11</c:v>
                </c:pt>
                <c:pt idx="70">
                  <c:v>11</c:v>
                </c:pt>
                <c:pt idx="71">
                  <c:v>10</c:v>
                </c:pt>
                <c:pt idx="72">
                  <c:v>10</c:v>
                </c:pt>
                <c:pt idx="73">
                  <c:v>10</c:v>
                </c:pt>
                <c:pt idx="74">
                  <c:v>10</c:v>
                </c:pt>
                <c:pt idx="75">
                  <c:v>10</c:v>
                </c:pt>
                <c:pt idx="76">
                  <c:v>10</c:v>
                </c:pt>
                <c:pt idx="77">
                  <c:v>10</c:v>
                </c:pt>
                <c:pt idx="78">
                  <c:v>9</c:v>
                </c:pt>
                <c:pt idx="79">
                  <c:v>9</c:v>
                </c:pt>
                <c:pt idx="80">
                  <c:v>9</c:v>
                </c:pt>
                <c:pt idx="81">
                  <c:v>9</c:v>
                </c:pt>
                <c:pt idx="82">
                  <c:v>9</c:v>
                </c:pt>
                <c:pt idx="83">
                  <c:v>9</c:v>
                </c:pt>
                <c:pt idx="84">
                  <c:v>9</c:v>
                </c:pt>
                <c:pt idx="85">
                  <c:v>9</c:v>
                </c:pt>
                <c:pt idx="86">
                  <c:v>9</c:v>
                </c:pt>
                <c:pt idx="87">
                  <c:v>8</c:v>
                </c:pt>
                <c:pt idx="88">
                  <c:v>8</c:v>
                </c:pt>
                <c:pt idx="89">
                  <c:v>8</c:v>
                </c:pt>
                <c:pt idx="90">
                  <c:v>8</c:v>
                </c:pt>
                <c:pt idx="91">
                  <c:v>8</c:v>
                </c:pt>
                <c:pt idx="92">
                  <c:v>8</c:v>
                </c:pt>
                <c:pt idx="93">
                  <c:v>8</c:v>
                </c:pt>
                <c:pt idx="94">
                  <c:v>8</c:v>
                </c:pt>
                <c:pt idx="95">
                  <c:v>8</c:v>
                </c:pt>
                <c:pt idx="96">
                  <c:v>8</c:v>
                </c:pt>
                <c:pt idx="97">
                  <c:v>8</c:v>
                </c:pt>
                <c:pt idx="98">
                  <c:v>8</c:v>
                </c:pt>
                <c:pt idx="99">
                  <c:v>8</c:v>
                </c:pt>
                <c:pt idx="100">
                  <c:v>7</c:v>
                </c:pt>
                <c:pt idx="101">
                  <c:v>7</c:v>
                </c:pt>
                <c:pt idx="102">
                  <c:v>7</c:v>
                </c:pt>
                <c:pt idx="103">
                  <c:v>7</c:v>
                </c:pt>
                <c:pt idx="104">
                  <c:v>7</c:v>
                </c:pt>
                <c:pt idx="105">
                  <c:v>7</c:v>
                </c:pt>
                <c:pt idx="106">
                  <c:v>7</c:v>
                </c:pt>
                <c:pt idx="107">
                  <c:v>7</c:v>
                </c:pt>
                <c:pt idx="108">
                  <c:v>7</c:v>
                </c:pt>
                <c:pt idx="109">
                  <c:v>7</c:v>
                </c:pt>
                <c:pt idx="110">
                  <c:v>7</c:v>
                </c:pt>
                <c:pt idx="111">
                  <c:v>7</c:v>
                </c:pt>
                <c:pt idx="112">
                  <c:v>7</c:v>
                </c:pt>
                <c:pt idx="113">
                  <c:v>7</c:v>
                </c:pt>
                <c:pt idx="114">
                  <c:v>7</c:v>
                </c:pt>
                <c:pt idx="115">
                  <c:v>7</c:v>
                </c:pt>
                <c:pt idx="116">
                  <c:v>7</c:v>
                </c:pt>
                <c:pt idx="117">
                  <c:v>6</c:v>
                </c:pt>
                <c:pt idx="118">
                  <c:v>6</c:v>
                </c:pt>
                <c:pt idx="119">
                  <c:v>6</c:v>
                </c:pt>
                <c:pt idx="120">
                  <c:v>6</c:v>
                </c:pt>
                <c:pt idx="121">
                  <c:v>6</c:v>
                </c:pt>
                <c:pt idx="122">
                  <c:v>6</c:v>
                </c:pt>
                <c:pt idx="123">
                  <c:v>6</c:v>
                </c:pt>
                <c:pt idx="124">
                  <c:v>6</c:v>
                </c:pt>
                <c:pt idx="125">
                  <c:v>6</c:v>
                </c:pt>
                <c:pt idx="126">
                  <c:v>6</c:v>
                </c:pt>
                <c:pt idx="127">
                  <c:v>6</c:v>
                </c:pt>
                <c:pt idx="128">
                  <c:v>6</c:v>
                </c:pt>
                <c:pt idx="129">
                  <c:v>6</c:v>
                </c:pt>
                <c:pt idx="130">
                  <c:v>6</c:v>
                </c:pt>
                <c:pt idx="131">
                  <c:v>6</c:v>
                </c:pt>
                <c:pt idx="132">
                  <c:v>6</c:v>
                </c:pt>
                <c:pt idx="133">
                  <c:v>6</c:v>
                </c:pt>
                <c:pt idx="134">
                  <c:v>6</c:v>
                </c:pt>
                <c:pt idx="135">
                  <c:v>6</c:v>
                </c:pt>
                <c:pt idx="136">
                  <c:v>6</c:v>
                </c:pt>
                <c:pt idx="137">
                  <c:v>6</c:v>
                </c:pt>
                <c:pt idx="138">
                  <c:v>6</c:v>
                </c:pt>
                <c:pt idx="139">
                  <c:v>6</c:v>
                </c:pt>
                <c:pt idx="140">
                  <c:v>6</c:v>
                </c:pt>
                <c:pt idx="141">
                  <c:v>6</c:v>
                </c:pt>
                <c:pt idx="142">
                  <c:v>6</c:v>
                </c:pt>
                <c:pt idx="143">
                  <c:v>5</c:v>
                </c:pt>
                <c:pt idx="144">
                  <c:v>5</c:v>
                </c:pt>
                <c:pt idx="145">
                  <c:v>5</c:v>
                </c:pt>
                <c:pt idx="146">
                  <c:v>5</c:v>
                </c:pt>
                <c:pt idx="147">
                  <c:v>5</c:v>
                </c:pt>
                <c:pt idx="148">
                  <c:v>5</c:v>
                </c:pt>
                <c:pt idx="149">
                  <c:v>5</c:v>
                </c:pt>
                <c:pt idx="150">
                  <c:v>5</c:v>
                </c:pt>
                <c:pt idx="151">
                  <c:v>5</c:v>
                </c:pt>
                <c:pt idx="152">
                  <c:v>5</c:v>
                </c:pt>
                <c:pt idx="153">
                  <c:v>5</c:v>
                </c:pt>
                <c:pt idx="154">
                  <c:v>5</c:v>
                </c:pt>
                <c:pt idx="155">
                  <c:v>5</c:v>
                </c:pt>
                <c:pt idx="156">
                  <c:v>5</c:v>
                </c:pt>
                <c:pt idx="157">
                  <c:v>5</c:v>
                </c:pt>
                <c:pt idx="158">
                  <c:v>5</c:v>
                </c:pt>
                <c:pt idx="159">
                  <c:v>5</c:v>
                </c:pt>
                <c:pt idx="160">
                  <c:v>5</c:v>
                </c:pt>
                <c:pt idx="161">
                  <c:v>5</c:v>
                </c:pt>
                <c:pt idx="162">
                  <c:v>5</c:v>
                </c:pt>
                <c:pt idx="163">
                  <c:v>5</c:v>
                </c:pt>
                <c:pt idx="164">
                  <c:v>5</c:v>
                </c:pt>
                <c:pt idx="165">
                  <c:v>5</c:v>
                </c:pt>
                <c:pt idx="166">
                  <c:v>5</c:v>
                </c:pt>
                <c:pt idx="167">
                  <c:v>5</c:v>
                </c:pt>
                <c:pt idx="168">
                  <c:v>5</c:v>
                </c:pt>
                <c:pt idx="169">
                  <c:v>5</c:v>
                </c:pt>
                <c:pt idx="170">
                  <c:v>5</c:v>
                </c:pt>
                <c:pt idx="171">
                  <c:v>5</c:v>
                </c:pt>
                <c:pt idx="172">
                  <c:v>5</c:v>
                </c:pt>
              </c:numCache>
            </c:numRef>
          </c:val>
          <c:smooth val="0"/>
          <c:extLst>
            <c:ext xmlns:c16="http://schemas.microsoft.com/office/drawing/2014/chart" uri="{C3380CC4-5D6E-409C-BE32-E72D297353CC}">
              <c16:uniqueId val="{00000003-247B-4D5F-A264-54A9AC6604A4}"/>
            </c:ext>
          </c:extLst>
        </c:ser>
        <c:ser>
          <c:idx val="4"/>
          <c:order val="4"/>
          <c:tx>
            <c:strRef>
              <c:f>Sheet4!$H$2</c:f>
              <c:strCache>
                <c:ptCount val="1"/>
                <c:pt idx="0">
                  <c:v>$50,000</c:v>
                </c:pt>
              </c:strCache>
            </c:strRef>
          </c:tx>
          <c:spPr>
            <a:ln w="28575" cap="rnd">
              <a:solidFill>
                <a:schemeClr val="accent5"/>
              </a:solidFill>
              <a:round/>
            </a:ln>
            <a:effectLst/>
          </c:spPr>
          <c:marker>
            <c:symbol val="none"/>
          </c:marker>
          <c:cat>
            <c:numRef>
              <c:f>Sheet4!$A$3:$A$175</c:f>
              <c:numCache>
                <c:formatCode>"$"#,##0_);[Red]\("$"#,##0\)</c:formatCode>
                <c:ptCount val="173"/>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pt idx="151">
                  <c:v>80500</c:v>
                </c:pt>
                <c:pt idx="152">
                  <c:v>81000</c:v>
                </c:pt>
                <c:pt idx="153">
                  <c:v>81500</c:v>
                </c:pt>
                <c:pt idx="154">
                  <c:v>82000</c:v>
                </c:pt>
                <c:pt idx="155">
                  <c:v>82500</c:v>
                </c:pt>
                <c:pt idx="156">
                  <c:v>83000</c:v>
                </c:pt>
                <c:pt idx="157">
                  <c:v>83500</c:v>
                </c:pt>
                <c:pt idx="158">
                  <c:v>84000</c:v>
                </c:pt>
                <c:pt idx="159">
                  <c:v>84500</c:v>
                </c:pt>
                <c:pt idx="160">
                  <c:v>85000</c:v>
                </c:pt>
                <c:pt idx="161">
                  <c:v>85500</c:v>
                </c:pt>
                <c:pt idx="162">
                  <c:v>86000</c:v>
                </c:pt>
                <c:pt idx="163">
                  <c:v>86500</c:v>
                </c:pt>
                <c:pt idx="164">
                  <c:v>87000</c:v>
                </c:pt>
                <c:pt idx="165">
                  <c:v>87500</c:v>
                </c:pt>
                <c:pt idx="166">
                  <c:v>88000</c:v>
                </c:pt>
                <c:pt idx="167">
                  <c:v>88500</c:v>
                </c:pt>
                <c:pt idx="168">
                  <c:v>89000</c:v>
                </c:pt>
                <c:pt idx="169">
                  <c:v>89500</c:v>
                </c:pt>
                <c:pt idx="170">
                  <c:v>90000</c:v>
                </c:pt>
                <c:pt idx="171">
                  <c:v>90500</c:v>
                </c:pt>
                <c:pt idx="172">
                  <c:v>91000</c:v>
                </c:pt>
              </c:numCache>
            </c:numRef>
          </c:cat>
          <c:val>
            <c:numRef>
              <c:f>Sheet4!$H$3:$H$175</c:f>
              <c:numCache>
                <c:formatCode>General</c:formatCode>
                <c:ptCount val="173"/>
                <c:pt idx="0">
                  <c:v>60</c:v>
                </c:pt>
                <c:pt idx="1">
                  <c:v>60</c:v>
                </c:pt>
                <c:pt idx="2">
                  <c:v>60</c:v>
                </c:pt>
                <c:pt idx="3">
                  <c:v>60</c:v>
                </c:pt>
                <c:pt idx="4">
                  <c:v>60</c:v>
                </c:pt>
                <c:pt idx="5">
                  <c:v>60</c:v>
                </c:pt>
                <c:pt idx="6">
                  <c:v>60</c:v>
                </c:pt>
                <c:pt idx="7">
                  <c:v>60</c:v>
                </c:pt>
                <c:pt idx="8">
                  <c:v>60</c:v>
                </c:pt>
                <c:pt idx="9">
                  <c:v>60</c:v>
                </c:pt>
                <c:pt idx="10">
                  <c:v>58</c:v>
                </c:pt>
                <c:pt idx="11">
                  <c:v>56</c:v>
                </c:pt>
                <c:pt idx="12">
                  <c:v>54</c:v>
                </c:pt>
                <c:pt idx="13">
                  <c:v>53</c:v>
                </c:pt>
                <c:pt idx="14">
                  <c:v>51</c:v>
                </c:pt>
                <c:pt idx="15">
                  <c:v>49</c:v>
                </c:pt>
                <c:pt idx="16">
                  <c:v>48</c:v>
                </c:pt>
                <c:pt idx="17">
                  <c:v>47</c:v>
                </c:pt>
                <c:pt idx="18">
                  <c:v>45</c:v>
                </c:pt>
                <c:pt idx="19">
                  <c:v>44</c:v>
                </c:pt>
                <c:pt idx="20">
                  <c:v>43</c:v>
                </c:pt>
                <c:pt idx="21">
                  <c:v>41</c:v>
                </c:pt>
                <c:pt idx="22">
                  <c:v>40</c:v>
                </c:pt>
                <c:pt idx="23">
                  <c:v>39</c:v>
                </c:pt>
                <c:pt idx="24">
                  <c:v>38</c:v>
                </c:pt>
                <c:pt idx="25">
                  <c:v>37</c:v>
                </c:pt>
                <c:pt idx="26">
                  <c:v>36</c:v>
                </c:pt>
                <c:pt idx="27">
                  <c:v>35</c:v>
                </c:pt>
                <c:pt idx="28">
                  <c:v>34</c:v>
                </c:pt>
                <c:pt idx="29">
                  <c:v>33</c:v>
                </c:pt>
                <c:pt idx="30">
                  <c:v>32</c:v>
                </c:pt>
                <c:pt idx="31">
                  <c:v>31</c:v>
                </c:pt>
                <c:pt idx="32">
                  <c:v>31</c:v>
                </c:pt>
                <c:pt idx="33">
                  <c:v>30</c:v>
                </c:pt>
                <c:pt idx="34">
                  <c:v>29</c:v>
                </c:pt>
                <c:pt idx="35">
                  <c:v>28</c:v>
                </c:pt>
                <c:pt idx="36">
                  <c:v>28</c:v>
                </c:pt>
                <c:pt idx="37">
                  <c:v>27</c:v>
                </c:pt>
                <c:pt idx="38">
                  <c:v>26</c:v>
                </c:pt>
                <c:pt idx="39">
                  <c:v>26</c:v>
                </c:pt>
                <c:pt idx="40">
                  <c:v>25</c:v>
                </c:pt>
                <c:pt idx="41">
                  <c:v>25</c:v>
                </c:pt>
                <c:pt idx="42">
                  <c:v>24</c:v>
                </c:pt>
                <c:pt idx="43">
                  <c:v>24</c:v>
                </c:pt>
                <c:pt idx="44">
                  <c:v>23</c:v>
                </c:pt>
                <c:pt idx="45">
                  <c:v>23</c:v>
                </c:pt>
                <c:pt idx="46">
                  <c:v>22</c:v>
                </c:pt>
                <c:pt idx="47">
                  <c:v>22</c:v>
                </c:pt>
                <c:pt idx="48">
                  <c:v>21</c:v>
                </c:pt>
                <c:pt idx="49">
                  <c:v>21</c:v>
                </c:pt>
                <c:pt idx="50">
                  <c:v>20</c:v>
                </c:pt>
                <c:pt idx="51">
                  <c:v>20</c:v>
                </c:pt>
                <c:pt idx="52">
                  <c:v>20</c:v>
                </c:pt>
                <c:pt idx="53">
                  <c:v>19</c:v>
                </c:pt>
                <c:pt idx="54">
                  <c:v>19</c:v>
                </c:pt>
                <c:pt idx="55">
                  <c:v>19</c:v>
                </c:pt>
                <c:pt idx="56">
                  <c:v>18</c:v>
                </c:pt>
                <c:pt idx="57">
                  <c:v>18</c:v>
                </c:pt>
                <c:pt idx="58">
                  <c:v>18</c:v>
                </c:pt>
                <c:pt idx="59">
                  <c:v>17</c:v>
                </c:pt>
                <c:pt idx="60">
                  <c:v>17</c:v>
                </c:pt>
                <c:pt idx="61">
                  <c:v>17</c:v>
                </c:pt>
                <c:pt idx="62">
                  <c:v>17</c:v>
                </c:pt>
                <c:pt idx="63">
                  <c:v>16</c:v>
                </c:pt>
                <c:pt idx="64">
                  <c:v>16</c:v>
                </c:pt>
                <c:pt idx="65">
                  <c:v>16</c:v>
                </c:pt>
                <c:pt idx="66">
                  <c:v>16</c:v>
                </c:pt>
                <c:pt idx="67">
                  <c:v>15</c:v>
                </c:pt>
                <c:pt idx="68">
                  <c:v>15</c:v>
                </c:pt>
                <c:pt idx="69">
                  <c:v>15</c:v>
                </c:pt>
                <c:pt idx="70">
                  <c:v>15</c:v>
                </c:pt>
                <c:pt idx="71">
                  <c:v>15</c:v>
                </c:pt>
                <c:pt idx="72">
                  <c:v>14</c:v>
                </c:pt>
                <c:pt idx="73">
                  <c:v>14</c:v>
                </c:pt>
                <c:pt idx="74">
                  <c:v>14</c:v>
                </c:pt>
                <c:pt idx="75">
                  <c:v>14</c:v>
                </c:pt>
                <c:pt idx="76">
                  <c:v>14</c:v>
                </c:pt>
                <c:pt idx="77">
                  <c:v>14</c:v>
                </c:pt>
                <c:pt idx="78">
                  <c:v>13</c:v>
                </c:pt>
                <c:pt idx="79">
                  <c:v>13</c:v>
                </c:pt>
                <c:pt idx="80">
                  <c:v>13</c:v>
                </c:pt>
                <c:pt idx="81">
                  <c:v>13</c:v>
                </c:pt>
                <c:pt idx="82">
                  <c:v>13</c:v>
                </c:pt>
                <c:pt idx="83">
                  <c:v>13</c:v>
                </c:pt>
                <c:pt idx="84">
                  <c:v>13</c:v>
                </c:pt>
                <c:pt idx="85">
                  <c:v>12</c:v>
                </c:pt>
                <c:pt idx="86">
                  <c:v>12</c:v>
                </c:pt>
                <c:pt idx="87">
                  <c:v>12</c:v>
                </c:pt>
                <c:pt idx="88">
                  <c:v>12</c:v>
                </c:pt>
                <c:pt idx="89">
                  <c:v>12</c:v>
                </c:pt>
                <c:pt idx="90">
                  <c:v>12</c:v>
                </c:pt>
                <c:pt idx="91">
                  <c:v>12</c:v>
                </c:pt>
                <c:pt idx="92">
                  <c:v>11</c:v>
                </c:pt>
                <c:pt idx="93">
                  <c:v>11</c:v>
                </c:pt>
                <c:pt idx="94">
                  <c:v>11</c:v>
                </c:pt>
                <c:pt idx="95">
                  <c:v>11</c:v>
                </c:pt>
                <c:pt idx="96">
                  <c:v>11</c:v>
                </c:pt>
                <c:pt idx="97">
                  <c:v>11</c:v>
                </c:pt>
                <c:pt idx="98">
                  <c:v>11</c:v>
                </c:pt>
                <c:pt idx="99">
                  <c:v>11</c:v>
                </c:pt>
                <c:pt idx="100">
                  <c:v>11</c:v>
                </c:pt>
                <c:pt idx="101">
                  <c:v>11</c:v>
                </c:pt>
                <c:pt idx="102">
                  <c:v>10</c:v>
                </c:pt>
                <c:pt idx="103">
                  <c:v>10</c:v>
                </c:pt>
                <c:pt idx="104">
                  <c:v>10</c:v>
                </c:pt>
                <c:pt idx="105">
                  <c:v>10</c:v>
                </c:pt>
                <c:pt idx="106">
                  <c:v>10</c:v>
                </c:pt>
                <c:pt idx="107">
                  <c:v>10</c:v>
                </c:pt>
                <c:pt idx="108">
                  <c:v>10</c:v>
                </c:pt>
                <c:pt idx="109">
                  <c:v>10</c:v>
                </c:pt>
                <c:pt idx="110">
                  <c:v>10</c:v>
                </c:pt>
                <c:pt idx="111">
                  <c:v>10</c:v>
                </c:pt>
                <c:pt idx="112">
                  <c:v>10</c:v>
                </c:pt>
                <c:pt idx="113">
                  <c:v>10</c:v>
                </c:pt>
                <c:pt idx="114">
                  <c:v>9</c:v>
                </c:pt>
                <c:pt idx="115">
                  <c:v>9</c:v>
                </c:pt>
                <c:pt idx="116">
                  <c:v>9</c:v>
                </c:pt>
                <c:pt idx="117">
                  <c:v>9</c:v>
                </c:pt>
                <c:pt idx="118">
                  <c:v>9</c:v>
                </c:pt>
                <c:pt idx="119">
                  <c:v>9</c:v>
                </c:pt>
                <c:pt idx="120">
                  <c:v>9</c:v>
                </c:pt>
                <c:pt idx="121">
                  <c:v>9</c:v>
                </c:pt>
                <c:pt idx="122">
                  <c:v>9</c:v>
                </c:pt>
                <c:pt idx="123">
                  <c:v>9</c:v>
                </c:pt>
                <c:pt idx="124">
                  <c:v>9</c:v>
                </c:pt>
                <c:pt idx="125">
                  <c:v>9</c:v>
                </c:pt>
                <c:pt idx="126">
                  <c:v>9</c:v>
                </c:pt>
                <c:pt idx="127">
                  <c:v>9</c:v>
                </c:pt>
                <c:pt idx="128">
                  <c:v>9</c:v>
                </c:pt>
                <c:pt idx="129">
                  <c:v>8</c:v>
                </c:pt>
                <c:pt idx="130">
                  <c:v>8</c:v>
                </c:pt>
                <c:pt idx="131">
                  <c:v>8</c:v>
                </c:pt>
                <c:pt idx="132">
                  <c:v>8</c:v>
                </c:pt>
                <c:pt idx="133">
                  <c:v>8</c:v>
                </c:pt>
                <c:pt idx="134">
                  <c:v>8</c:v>
                </c:pt>
                <c:pt idx="135">
                  <c:v>8</c:v>
                </c:pt>
                <c:pt idx="136">
                  <c:v>8</c:v>
                </c:pt>
                <c:pt idx="137">
                  <c:v>8</c:v>
                </c:pt>
                <c:pt idx="138">
                  <c:v>8</c:v>
                </c:pt>
                <c:pt idx="139">
                  <c:v>8</c:v>
                </c:pt>
                <c:pt idx="140">
                  <c:v>8</c:v>
                </c:pt>
                <c:pt idx="141">
                  <c:v>8</c:v>
                </c:pt>
                <c:pt idx="142">
                  <c:v>8</c:v>
                </c:pt>
                <c:pt idx="143">
                  <c:v>8</c:v>
                </c:pt>
                <c:pt idx="144">
                  <c:v>8</c:v>
                </c:pt>
                <c:pt idx="145">
                  <c:v>8</c:v>
                </c:pt>
                <c:pt idx="146">
                  <c:v>8</c:v>
                </c:pt>
                <c:pt idx="147">
                  <c:v>8</c:v>
                </c:pt>
                <c:pt idx="148">
                  <c:v>8</c:v>
                </c:pt>
                <c:pt idx="149">
                  <c:v>8</c:v>
                </c:pt>
                <c:pt idx="150">
                  <c:v>7</c:v>
                </c:pt>
                <c:pt idx="151">
                  <c:v>7</c:v>
                </c:pt>
                <c:pt idx="152">
                  <c:v>7</c:v>
                </c:pt>
                <c:pt idx="153">
                  <c:v>7</c:v>
                </c:pt>
                <c:pt idx="154">
                  <c:v>7</c:v>
                </c:pt>
                <c:pt idx="155">
                  <c:v>7</c:v>
                </c:pt>
                <c:pt idx="156">
                  <c:v>7</c:v>
                </c:pt>
                <c:pt idx="157">
                  <c:v>7</c:v>
                </c:pt>
                <c:pt idx="158">
                  <c:v>7</c:v>
                </c:pt>
                <c:pt idx="159">
                  <c:v>7</c:v>
                </c:pt>
                <c:pt idx="160">
                  <c:v>7</c:v>
                </c:pt>
                <c:pt idx="161">
                  <c:v>7</c:v>
                </c:pt>
                <c:pt idx="162">
                  <c:v>7</c:v>
                </c:pt>
                <c:pt idx="163">
                  <c:v>7</c:v>
                </c:pt>
                <c:pt idx="164">
                  <c:v>7</c:v>
                </c:pt>
                <c:pt idx="165">
                  <c:v>7</c:v>
                </c:pt>
                <c:pt idx="166">
                  <c:v>7</c:v>
                </c:pt>
                <c:pt idx="167">
                  <c:v>7</c:v>
                </c:pt>
                <c:pt idx="168">
                  <c:v>7</c:v>
                </c:pt>
                <c:pt idx="169">
                  <c:v>7</c:v>
                </c:pt>
                <c:pt idx="170">
                  <c:v>7</c:v>
                </c:pt>
                <c:pt idx="171">
                  <c:v>7</c:v>
                </c:pt>
                <c:pt idx="172">
                  <c:v>7</c:v>
                </c:pt>
              </c:numCache>
            </c:numRef>
          </c:val>
          <c:smooth val="0"/>
          <c:extLst>
            <c:ext xmlns:c16="http://schemas.microsoft.com/office/drawing/2014/chart" uri="{C3380CC4-5D6E-409C-BE32-E72D297353CC}">
              <c16:uniqueId val="{00000004-247B-4D5F-A264-54A9AC6604A4}"/>
            </c:ext>
          </c:extLst>
        </c:ser>
        <c:dLbls>
          <c:showLegendKey val="0"/>
          <c:showVal val="0"/>
          <c:showCatName val="0"/>
          <c:showSerName val="0"/>
          <c:showPercent val="0"/>
          <c:showBubbleSize val="0"/>
        </c:dLbls>
        <c:smooth val="0"/>
        <c:axId val="791296512"/>
        <c:axId val="40438480"/>
      </c:lineChart>
      <c:catAx>
        <c:axId val="791296512"/>
        <c:scaling>
          <c:orientation val="minMax"/>
        </c:scaling>
        <c:delete val="0"/>
        <c:axPos val="b"/>
        <c:numFmt formatCode="&quot;$&quot;#,##0_);[Red]\(&quot;$&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8480"/>
        <c:crosses val="autoZero"/>
        <c:auto val="1"/>
        <c:lblAlgn val="ctr"/>
        <c:lblOffset val="100"/>
        <c:noMultiLvlLbl val="0"/>
      </c:catAx>
      <c:valAx>
        <c:axId val="40438480"/>
        <c:scaling>
          <c:orientation val="minMax"/>
          <c:max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296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875218680762251E-2"/>
          <c:y val="0.18968830299280143"/>
          <c:w val="0.90217997594176746"/>
          <c:h val="0.55998872857898607"/>
        </c:manualLayout>
      </c:layout>
      <c:lineChart>
        <c:grouping val="standard"/>
        <c:varyColors val="0"/>
        <c:ser>
          <c:idx val="0"/>
          <c:order val="0"/>
          <c:tx>
            <c:strRef>
              <c:f>Sheet4!$D$2</c:f>
              <c:strCache>
                <c:ptCount val="1"/>
                <c:pt idx="0">
                  <c:v>$5,000</c:v>
                </c:pt>
              </c:strCache>
            </c:strRef>
          </c:tx>
          <c:spPr>
            <a:ln w="25400" cap="rnd">
              <a:solidFill>
                <a:srgbClr val="1696D2"/>
              </a:solidFill>
              <a:round/>
            </a:ln>
            <a:effectLst/>
          </c:spPr>
          <c:marker>
            <c:symbol val="none"/>
          </c:marker>
          <c:cat>
            <c:numRef>
              <c:f>Sheet4!$A$3:$A$153</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Sheet4!$D$3:$D$153</c:f>
              <c:numCache>
                <c:formatCode>General</c:formatCode>
                <c:ptCount val="151"/>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21</c:v>
                </c:pt>
                <c:pt idx="19">
                  <c:v>21</c:v>
                </c:pt>
                <c:pt idx="20">
                  <c:v>20</c:v>
                </c:pt>
                <c:pt idx="21">
                  <c:v>19</c:v>
                </c:pt>
                <c:pt idx="22">
                  <c:v>18</c:v>
                </c:pt>
                <c:pt idx="23">
                  <c:v>17</c:v>
                </c:pt>
                <c:pt idx="24">
                  <c:v>16</c:v>
                </c:pt>
                <c:pt idx="25">
                  <c:v>15</c:v>
                </c:pt>
                <c:pt idx="26">
                  <c:v>15</c:v>
                </c:pt>
                <c:pt idx="27">
                  <c:v>14</c:v>
                </c:pt>
                <c:pt idx="28">
                  <c:v>13</c:v>
                </c:pt>
                <c:pt idx="29">
                  <c:v>12</c:v>
                </c:pt>
                <c:pt idx="30">
                  <c:v>11</c:v>
                </c:pt>
                <c:pt idx="31">
                  <c:v>11</c:v>
                </c:pt>
                <c:pt idx="32">
                  <c:v>10</c:v>
                </c:pt>
                <c:pt idx="33">
                  <c:v>9</c:v>
                </c:pt>
                <c:pt idx="34">
                  <c:v>9</c:v>
                </c:pt>
                <c:pt idx="35">
                  <c:v>8</c:v>
                </c:pt>
                <c:pt idx="36">
                  <c:v>8</c:v>
                </c:pt>
                <c:pt idx="37">
                  <c:v>7</c:v>
                </c:pt>
                <c:pt idx="38">
                  <c:v>7</c:v>
                </c:pt>
                <c:pt idx="39">
                  <c:v>7</c:v>
                </c:pt>
                <c:pt idx="40">
                  <c:v>7</c:v>
                </c:pt>
                <c:pt idx="41">
                  <c:v>6</c:v>
                </c:pt>
                <c:pt idx="42">
                  <c:v>6</c:v>
                </c:pt>
                <c:pt idx="43">
                  <c:v>6</c:v>
                </c:pt>
                <c:pt idx="44">
                  <c:v>6</c:v>
                </c:pt>
                <c:pt idx="45">
                  <c:v>5</c:v>
                </c:pt>
                <c:pt idx="46">
                  <c:v>5</c:v>
                </c:pt>
                <c:pt idx="47">
                  <c:v>5</c:v>
                </c:pt>
                <c:pt idx="48">
                  <c:v>5</c:v>
                </c:pt>
                <c:pt idx="49">
                  <c:v>5</c:v>
                </c:pt>
                <c:pt idx="50">
                  <c:v>5</c:v>
                </c:pt>
                <c:pt idx="51">
                  <c:v>5</c:v>
                </c:pt>
                <c:pt idx="52">
                  <c:v>4</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3</c:v>
                </c:pt>
                <c:pt idx="68">
                  <c:v>3</c:v>
                </c:pt>
                <c:pt idx="69">
                  <c:v>3</c:v>
                </c:pt>
                <c:pt idx="70">
                  <c:v>3</c:v>
                </c:pt>
                <c:pt idx="71">
                  <c:v>3</c:v>
                </c:pt>
                <c:pt idx="72">
                  <c:v>3</c:v>
                </c:pt>
                <c:pt idx="73">
                  <c:v>3</c:v>
                </c:pt>
                <c:pt idx="74">
                  <c:v>3</c:v>
                </c:pt>
                <c:pt idx="75">
                  <c:v>3</c:v>
                </c:pt>
                <c:pt idx="76">
                  <c:v>3</c:v>
                </c:pt>
                <c:pt idx="77">
                  <c:v>3</c:v>
                </c:pt>
                <c:pt idx="78">
                  <c:v>3</c:v>
                </c:pt>
                <c:pt idx="79">
                  <c:v>3</c:v>
                </c:pt>
                <c:pt idx="80">
                  <c:v>3</c:v>
                </c:pt>
                <c:pt idx="81">
                  <c:v>3</c:v>
                </c:pt>
                <c:pt idx="82">
                  <c:v>3</c:v>
                </c:pt>
                <c:pt idx="83">
                  <c:v>3</c:v>
                </c:pt>
                <c:pt idx="84">
                  <c:v>3</c:v>
                </c:pt>
                <c:pt idx="85">
                  <c:v>3</c:v>
                </c:pt>
                <c:pt idx="86">
                  <c:v>3</c:v>
                </c:pt>
                <c:pt idx="87">
                  <c:v>3</c:v>
                </c:pt>
                <c:pt idx="88">
                  <c:v>3</c:v>
                </c:pt>
                <c:pt idx="89">
                  <c:v>3</c:v>
                </c:pt>
                <c:pt idx="90">
                  <c:v>3</c:v>
                </c:pt>
                <c:pt idx="91">
                  <c:v>3</c:v>
                </c:pt>
                <c:pt idx="92">
                  <c:v>3</c:v>
                </c:pt>
                <c:pt idx="93">
                  <c:v>3</c:v>
                </c:pt>
                <c:pt idx="94">
                  <c:v>3</c:v>
                </c:pt>
                <c:pt idx="95">
                  <c:v>3</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2</c:v>
                </c:pt>
                <c:pt idx="110">
                  <c:v>2</c:v>
                </c:pt>
                <c:pt idx="111">
                  <c:v>2</c:v>
                </c:pt>
                <c:pt idx="112">
                  <c:v>2</c:v>
                </c:pt>
                <c:pt idx="113">
                  <c:v>2</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2</c:v>
                </c:pt>
                <c:pt idx="128">
                  <c:v>2</c:v>
                </c:pt>
                <c:pt idx="129">
                  <c:v>2</c:v>
                </c:pt>
                <c:pt idx="130">
                  <c:v>2</c:v>
                </c:pt>
                <c:pt idx="131">
                  <c:v>2</c:v>
                </c:pt>
                <c:pt idx="132">
                  <c:v>2</c:v>
                </c:pt>
                <c:pt idx="133">
                  <c:v>2</c:v>
                </c:pt>
                <c:pt idx="134">
                  <c:v>2</c:v>
                </c:pt>
                <c:pt idx="135">
                  <c:v>2</c:v>
                </c:pt>
                <c:pt idx="136">
                  <c:v>2</c:v>
                </c:pt>
                <c:pt idx="137">
                  <c:v>2</c:v>
                </c:pt>
                <c:pt idx="138">
                  <c:v>2</c:v>
                </c:pt>
                <c:pt idx="139">
                  <c:v>2</c:v>
                </c:pt>
                <c:pt idx="140">
                  <c:v>2</c:v>
                </c:pt>
                <c:pt idx="141">
                  <c:v>2</c:v>
                </c:pt>
                <c:pt idx="142">
                  <c:v>2</c:v>
                </c:pt>
                <c:pt idx="143">
                  <c:v>2</c:v>
                </c:pt>
                <c:pt idx="144">
                  <c:v>2</c:v>
                </c:pt>
                <c:pt idx="145">
                  <c:v>2</c:v>
                </c:pt>
                <c:pt idx="146">
                  <c:v>2</c:v>
                </c:pt>
                <c:pt idx="147">
                  <c:v>2</c:v>
                </c:pt>
                <c:pt idx="148">
                  <c:v>2</c:v>
                </c:pt>
                <c:pt idx="149">
                  <c:v>2</c:v>
                </c:pt>
                <c:pt idx="150">
                  <c:v>2</c:v>
                </c:pt>
              </c:numCache>
            </c:numRef>
          </c:val>
          <c:smooth val="0"/>
          <c:extLst>
            <c:ext xmlns:c16="http://schemas.microsoft.com/office/drawing/2014/chart" uri="{C3380CC4-5D6E-409C-BE32-E72D297353CC}">
              <c16:uniqueId val="{00000000-247B-4D5F-A264-54A9AC6604A4}"/>
            </c:ext>
          </c:extLst>
        </c:ser>
        <c:ser>
          <c:idx val="1"/>
          <c:order val="1"/>
          <c:tx>
            <c:strRef>
              <c:f>Sheet4!$E$2</c:f>
              <c:strCache>
                <c:ptCount val="1"/>
                <c:pt idx="0">
                  <c:v>$10,000</c:v>
                </c:pt>
              </c:strCache>
            </c:strRef>
          </c:tx>
          <c:spPr>
            <a:ln w="25400" cap="rnd">
              <a:solidFill>
                <a:srgbClr val="FDBF11"/>
              </a:solidFill>
              <a:round/>
            </a:ln>
            <a:effectLst/>
          </c:spPr>
          <c:marker>
            <c:symbol val="none"/>
          </c:marker>
          <c:cat>
            <c:numRef>
              <c:f>Sheet4!$A$3:$A$153</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Sheet4!$E$3:$E$153</c:f>
              <c:numCache>
                <c:formatCode>General</c:formatCode>
                <c:ptCount val="151"/>
                <c:pt idx="0">
                  <c:v>43</c:v>
                </c:pt>
                <c:pt idx="1">
                  <c:v>43</c:v>
                </c:pt>
                <c:pt idx="2">
                  <c:v>43</c:v>
                </c:pt>
                <c:pt idx="3">
                  <c:v>43</c:v>
                </c:pt>
                <c:pt idx="4">
                  <c:v>43</c:v>
                </c:pt>
                <c:pt idx="5">
                  <c:v>43</c:v>
                </c:pt>
                <c:pt idx="6">
                  <c:v>43</c:v>
                </c:pt>
                <c:pt idx="7">
                  <c:v>43</c:v>
                </c:pt>
                <c:pt idx="8">
                  <c:v>42</c:v>
                </c:pt>
                <c:pt idx="9">
                  <c:v>41</c:v>
                </c:pt>
                <c:pt idx="10">
                  <c:v>39</c:v>
                </c:pt>
                <c:pt idx="11">
                  <c:v>38</c:v>
                </c:pt>
                <c:pt idx="12">
                  <c:v>36</c:v>
                </c:pt>
                <c:pt idx="13">
                  <c:v>35</c:v>
                </c:pt>
                <c:pt idx="14">
                  <c:v>34</c:v>
                </c:pt>
                <c:pt idx="15">
                  <c:v>32</c:v>
                </c:pt>
                <c:pt idx="16">
                  <c:v>31</c:v>
                </c:pt>
                <c:pt idx="17">
                  <c:v>30</c:v>
                </c:pt>
                <c:pt idx="18">
                  <c:v>28</c:v>
                </c:pt>
                <c:pt idx="19">
                  <c:v>27</c:v>
                </c:pt>
                <c:pt idx="20">
                  <c:v>26</c:v>
                </c:pt>
                <c:pt idx="21">
                  <c:v>25</c:v>
                </c:pt>
                <c:pt idx="22">
                  <c:v>24</c:v>
                </c:pt>
                <c:pt idx="23">
                  <c:v>23</c:v>
                </c:pt>
                <c:pt idx="24">
                  <c:v>22</c:v>
                </c:pt>
                <c:pt idx="25">
                  <c:v>21</c:v>
                </c:pt>
                <c:pt idx="26">
                  <c:v>20</c:v>
                </c:pt>
                <c:pt idx="27">
                  <c:v>19</c:v>
                </c:pt>
                <c:pt idx="28">
                  <c:v>18</c:v>
                </c:pt>
                <c:pt idx="29">
                  <c:v>17</c:v>
                </c:pt>
                <c:pt idx="30">
                  <c:v>16</c:v>
                </c:pt>
                <c:pt idx="31">
                  <c:v>15</c:v>
                </c:pt>
                <c:pt idx="32">
                  <c:v>14</c:v>
                </c:pt>
                <c:pt idx="33">
                  <c:v>14</c:v>
                </c:pt>
                <c:pt idx="34">
                  <c:v>13</c:v>
                </c:pt>
                <c:pt idx="35">
                  <c:v>12</c:v>
                </c:pt>
                <c:pt idx="36">
                  <c:v>12</c:v>
                </c:pt>
                <c:pt idx="37">
                  <c:v>11</c:v>
                </c:pt>
                <c:pt idx="38">
                  <c:v>11</c:v>
                </c:pt>
                <c:pt idx="39">
                  <c:v>10</c:v>
                </c:pt>
                <c:pt idx="40">
                  <c:v>10</c:v>
                </c:pt>
                <c:pt idx="41">
                  <c:v>10</c:v>
                </c:pt>
                <c:pt idx="42">
                  <c:v>9</c:v>
                </c:pt>
                <c:pt idx="43">
                  <c:v>9</c:v>
                </c:pt>
                <c:pt idx="44">
                  <c:v>9</c:v>
                </c:pt>
                <c:pt idx="45">
                  <c:v>9</c:v>
                </c:pt>
                <c:pt idx="46">
                  <c:v>8</c:v>
                </c:pt>
                <c:pt idx="47">
                  <c:v>8</c:v>
                </c:pt>
                <c:pt idx="48">
                  <c:v>8</c:v>
                </c:pt>
                <c:pt idx="49">
                  <c:v>8</c:v>
                </c:pt>
                <c:pt idx="50">
                  <c:v>7</c:v>
                </c:pt>
                <c:pt idx="51">
                  <c:v>7</c:v>
                </c:pt>
                <c:pt idx="52">
                  <c:v>7</c:v>
                </c:pt>
                <c:pt idx="53">
                  <c:v>7</c:v>
                </c:pt>
                <c:pt idx="54">
                  <c:v>7</c:v>
                </c:pt>
                <c:pt idx="55">
                  <c:v>7</c:v>
                </c:pt>
                <c:pt idx="56">
                  <c:v>6</c:v>
                </c:pt>
                <c:pt idx="57">
                  <c:v>6</c:v>
                </c:pt>
                <c:pt idx="58">
                  <c:v>6</c:v>
                </c:pt>
                <c:pt idx="59">
                  <c:v>6</c:v>
                </c:pt>
                <c:pt idx="60">
                  <c:v>6</c:v>
                </c:pt>
                <c:pt idx="61">
                  <c:v>6</c:v>
                </c:pt>
                <c:pt idx="62">
                  <c:v>6</c:v>
                </c:pt>
                <c:pt idx="63">
                  <c:v>6</c:v>
                </c:pt>
                <c:pt idx="64">
                  <c:v>6</c:v>
                </c:pt>
                <c:pt idx="65">
                  <c:v>5</c:v>
                </c:pt>
                <c:pt idx="66">
                  <c:v>5</c:v>
                </c:pt>
                <c:pt idx="67">
                  <c:v>5</c:v>
                </c:pt>
                <c:pt idx="68">
                  <c:v>5</c:v>
                </c:pt>
                <c:pt idx="69">
                  <c:v>5</c:v>
                </c:pt>
                <c:pt idx="70">
                  <c:v>5</c:v>
                </c:pt>
                <c:pt idx="71">
                  <c:v>5</c:v>
                </c:pt>
                <c:pt idx="72">
                  <c:v>5</c:v>
                </c:pt>
                <c:pt idx="73">
                  <c:v>5</c:v>
                </c:pt>
                <c:pt idx="74">
                  <c:v>5</c:v>
                </c:pt>
                <c:pt idx="75">
                  <c:v>5</c:v>
                </c:pt>
                <c:pt idx="76">
                  <c:v>5</c:v>
                </c:pt>
                <c:pt idx="77">
                  <c:v>5</c:v>
                </c:pt>
                <c:pt idx="78">
                  <c:v>5</c:v>
                </c:pt>
                <c:pt idx="79">
                  <c:v>4</c:v>
                </c:pt>
                <c:pt idx="80">
                  <c:v>4</c:v>
                </c:pt>
                <c:pt idx="81">
                  <c:v>4</c:v>
                </c:pt>
                <c:pt idx="82">
                  <c:v>4</c:v>
                </c:pt>
                <c:pt idx="83">
                  <c:v>4</c:v>
                </c:pt>
                <c:pt idx="84">
                  <c:v>4</c:v>
                </c:pt>
                <c:pt idx="85">
                  <c:v>4</c:v>
                </c:pt>
                <c:pt idx="86">
                  <c:v>4</c:v>
                </c:pt>
                <c:pt idx="87">
                  <c:v>4</c:v>
                </c:pt>
                <c:pt idx="88">
                  <c:v>4</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numCache>
            </c:numRef>
          </c:val>
          <c:smooth val="0"/>
          <c:extLst>
            <c:ext xmlns:c16="http://schemas.microsoft.com/office/drawing/2014/chart" uri="{C3380CC4-5D6E-409C-BE32-E72D297353CC}">
              <c16:uniqueId val="{00000001-247B-4D5F-A264-54A9AC6604A4}"/>
            </c:ext>
          </c:extLst>
        </c:ser>
        <c:ser>
          <c:idx val="2"/>
          <c:order val="2"/>
          <c:tx>
            <c:strRef>
              <c:f>Sheet4!$F$2</c:f>
              <c:strCache>
                <c:ptCount val="1"/>
                <c:pt idx="0">
                  <c:v>$20,000</c:v>
                </c:pt>
              </c:strCache>
            </c:strRef>
          </c:tx>
          <c:spPr>
            <a:ln w="25400" cap="rnd">
              <a:solidFill>
                <a:srgbClr val="000000"/>
              </a:solidFill>
              <a:round/>
            </a:ln>
            <a:effectLst/>
          </c:spPr>
          <c:marker>
            <c:symbol val="none"/>
          </c:marker>
          <c:cat>
            <c:numRef>
              <c:f>Sheet4!$A$3:$A$153</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Sheet4!$F$3:$F$153</c:f>
              <c:numCache>
                <c:formatCode>General</c:formatCode>
                <c:ptCount val="151"/>
                <c:pt idx="0">
                  <c:v>60</c:v>
                </c:pt>
                <c:pt idx="1">
                  <c:v>60</c:v>
                </c:pt>
                <c:pt idx="2">
                  <c:v>60</c:v>
                </c:pt>
                <c:pt idx="3">
                  <c:v>60</c:v>
                </c:pt>
                <c:pt idx="4">
                  <c:v>60</c:v>
                </c:pt>
                <c:pt idx="5">
                  <c:v>59</c:v>
                </c:pt>
                <c:pt idx="6">
                  <c:v>56</c:v>
                </c:pt>
                <c:pt idx="7">
                  <c:v>54</c:v>
                </c:pt>
                <c:pt idx="8">
                  <c:v>52</c:v>
                </c:pt>
                <c:pt idx="9">
                  <c:v>50</c:v>
                </c:pt>
                <c:pt idx="10">
                  <c:v>48</c:v>
                </c:pt>
                <c:pt idx="11">
                  <c:v>46</c:v>
                </c:pt>
                <c:pt idx="12">
                  <c:v>44</c:v>
                </c:pt>
                <c:pt idx="13">
                  <c:v>42</c:v>
                </c:pt>
                <c:pt idx="14">
                  <c:v>41</c:v>
                </c:pt>
                <c:pt idx="15">
                  <c:v>39</c:v>
                </c:pt>
                <c:pt idx="16">
                  <c:v>38</c:v>
                </c:pt>
                <c:pt idx="17">
                  <c:v>36</c:v>
                </c:pt>
                <c:pt idx="18">
                  <c:v>35</c:v>
                </c:pt>
                <c:pt idx="19">
                  <c:v>34</c:v>
                </c:pt>
                <c:pt idx="20">
                  <c:v>32</c:v>
                </c:pt>
                <c:pt idx="21">
                  <c:v>31</c:v>
                </c:pt>
                <c:pt idx="22">
                  <c:v>30</c:v>
                </c:pt>
                <c:pt idx="23">
                  <c:v>29</c:v>
                </c:pt>
                <c:pt idx="24">
                  <c:v>28</c:v>
                </c:pt>
                <c:pt idx="25">
                  <c:v>27</c:v>
                </c:pt>
                <c:pt idx="26">
                  <c:v>26</c:v>
                </c:pt>
                <c:pt idx="27">
                  <c:v>25</c:v>
                </c:pt>
                <c:pt idx="28">
                  <c:v>24</c:v>
                </c:pt>
                <c:pt idx="29">
                  <c:v>23</c:v>
                </c:pt>
                <c:pt idx="30">
                  <c:v>22</c:v>
                </c:pt>
                <c:pt idx="31">
                  <c:v>21</c:v>
                </c:pt>
                <c:pt idx="32">
                  <c:v>20</c:v>
                </c:pt>
                <c:pt idx="33">
                  <c:v>20</c:v>
                </c:pt>
                <c:pt idx="34">
                  <c:v>19</c:v>
                </c:pt>
                <c:pt idx="35">
                  <c:v>18</c:v>
                </c:pt>
                <c:pt idx="36">
                  <c:v>18</c:v>
                </c:pt>
                <c:pt idx="37">
                  <c:v>17</c:v>
                </c:pt>
                <c:pt idx="38">
                  <c:v>16</c:v>
                </c:pt>
                <c:pt idx="39">
                  <c:v>16</c:v>
                </c:pt>
                <c:pt idx="40">
                  <c:v>15</c:v>
                </c:pt>
                <c:pt idx="41">
                  <c:v>15</c:v>
                </c:pt>
                <c:pt idx="42">
                  <c:v>14</c:v>
                </c:pt>
                <c:pt idx="43">
                  <c:v>14</c:v>
                </c:pt>
                <c:pt idx="44">
                  <c:v>14</c:v>
                </c:pt>
                <c:pt idx="45">
                  <c:v>13</c:v>
                </c:pt>
                <c:pt idx="46">
                  <c:v>13</c:v>
                </c:pt>
                <c:pt idx="47">
                  <c:v>13</c:v>
                </c:pt>
                <c:pt idx="48">
                  <c:v>12</c:v>
                </c:pt>
                <c:pt idx="49">
                  <c:v>12</c:v>
                </c:pt>
                <c:pt idx="50">
                  <c:v>12</c:v>
                </c:pt>
                <c:pt idx="51">
                  <c:v>11</c:v>
                </c:pt>
                <c:pt idx="52">
                  <c:v>11</c:v>
                </c:pt>
                <c:pt idx="53">
                  <c:v>11</c:v>
                </c:pt>
                <c:pt idx="54">
                  <c:v>11</c:v>
                </c:pt>
                <c:pt idx="55">
                  <c:v>10</c:v>
                </c:pt>
                <c:pt idx="56">
                  <c:v>10</c:v>
                </c:pt>
                <c:pt idx="57">
                  <c:v>10</c:v>
                </c:pt>
                <c:pt idx="58">
                  <c:v>10</c:v>
                </c:pt>
                <c:pt idx="59">
                  <c:v>10</c:v>
                </c:pt>
                <c:pt idx="60">
                  <c:v>9</c:v>
                </c:pt>
                <c:pt idx="61">
                  <c:v>9</c:v>
                </c:pt>
                <c:pt idx="62">
                  <c:v>9</c:v>
                </c:pt>
                <c:pt idx="63">
                  <c:v>9</c:v>
                </c:pt>
                <c:pt idx="64">
                  <c:v>9</c:v>
                </c:pt>
                <c:pt idx="65">
                  <c:v>9</c:v>
                </c:pt>
                <c:pt idx="66">
                  <c:v>8</c:v>
                </c:pt>
                <c:pt idx="67">
                  <c:v>8</c:v>
                </c:pt>
                <c:pt idx="68">
                  <c:v>8</c:v>
                </c:pt>
                <c:pt idx="69">
                  <c:v>8</c:v>
                </c:pt>
                <c:pt idx="70">
                  <c:v>8</c:v>
                </c:pt>
                <c:pt idx="71">
                  <c:v>8</c:v>
                </c:pt>
                <c:pt idx="72">
                  <c:v>8</c:v>
                </c:pt>
                <c:pt idx="73">
                  <c:v>8</c:v>
                </c:pt>
                <c:pt idx="74">
                  <c:v>8</c:v>
                </c:pt>
                <c:pt idx="75">
                  <c:v>7</c:v>
                </c:pt>
                <c:pt idx="76">
                  <c:v>7</c:v>
                </c:pt>
                <c:pt idx="77">
                  <c:v>7</c:v>
                </c:pt>
                <c:pt idx="78">
                  <c:v>7</c:v>
                </c:pt>
                <c:pt idx="79">
                  <c:v>7</c:v>
                </c:pt>
                <c:pt idx="80">
                  <c:v>7</c:v>
                </c:pt>
                <c:pt idx="81">
                  <c:v>7</c:v>
                </c:pt>
                <c:pt idx="82">
                  <c:v>7</c:v>
                </c:pt>
                <c:pt idx="83">
                  <c:v>7</c:v>
                </c:pt>
                <c:pt idx="84">
                  <c:v>7</c:v>
                </c:pt>
                <c:pt idx="85">
                  <c:v>7</c:v>
                </c:pt>
                <c:pt idx="86">
                  <c:v>6</c:v>
                </c:pt>
                <c:pt idx="87">
                  <c:v>6</c:v>
                </c:pt>
                <c:pt idx="88">
                  <c:v>6</c:v>
                </c:pt>
                <c:pt idx="89">
                  <c:v>6</c:v>
                </c:pt>
                <c:pt idx="90">
                  <c:v>6</c:v>
                </c:pt>
                <c:pt idx="91">
                  <c:v>6</c:v>
                </c:pt>
                <c:pt idx="92">
                  <c:v>6</c:v>
                </c:pt>
                <c:pt idx="93">
                  <c:v>6</c:v>
                </c:pt>
                <c:pt idx="94">
                  <c:v>6</c:v>
                </c:pt>
                <c:pt idx="95">
                  <c:v>6</c:v>
                </c:pt>
                <c:pt idx="96">
                  <c:v>6</c:v>
                </c:pt>
                <c:pt idx="97">
                  <c:v>6</c:v>
                </c:pt>
                <c:pt idx="98">
                  <c:v>6</c:v>
                </c:pt>
                <c:pt idx="99">
                  <c:v>6</c:v>
                </c:pt>
                <c:pt idx="100">
                  <c:v>6</c:v>
                </c:pt>
                <c:pt idx="101">
                  <c:v>6</c:v>
                </c:pt>
                <c:pt idx="102">
                  <c:v>6</c:v>
                </c:pt>
                <c:pt idx="103">
                  <c:v>6</c:v>
                </c:pt>
                <c:pt idx="104">
                  <c:v>5</c:v>
                </c:pt>
                <c:pt idx="105">
                  <c:v>5</c:v>
                </c:pt>
                <c:pt idx="106">
                  <c:v>5</c:v>
                </c:pt>
                <c:pt idx="107">
                  <c:v>5</c:v>
                </c:pt>
                <c:pt idx="108">
                  <c:v>5</c:v>
                </c:pt>
                <c:pt idx="109">
                  <c:v>5</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c:v>
                </c:pt>
                <c:pt idx="124">
                  <c:v>5</c:v>
                </c:pt>
                <c:pt idx="125">
                  <c:v>5</c:v>
                </c:pt>
                <c:pt idx="126">
                  <c:v>5</c:v>
                </c:pt>
                <c:pt idx="127">
                  <c:v>5</c:v>
                </c:pt>
                <c:pt idx="128">
                  <c:v>5</c:v>
                </c:pt>
                <c:pt idx="129">
                  <c:v>5</c:v>
                </c:pt>
                <c:pt idx="130">
                  <c:v>5</c:v>
                </c:pt>
                <c:pt idx="131">
                  <c:v>5</c:v>
                </c:pt>
                <c:pt idx="132">
                  <c:v>4</c:v>
                </c:pt>
                <c:pt idx="133">
                  <c:v>4</c:v>
                </c:pt>
                <c:pt idx="134">
                  <c:v>4</c:v>
                </c:pt>
                <c:pt idx="135">
                  <c:v>4</c:v>
                </c:pt>
                <c:pt idx="136">
                  <c:v>4</c:v>
                </c:pt>
                <c:pt idx="137">
                  <c:v>4</c:v>
                </c:pt>
                <c:pt idx="138">
                  <c:v>4</c:v>
                </c:pt>
                <c:pt idx="139">
                  <c:v>4</c:v>
                </c:pt>
                <c:pt idx="140">
                  <c:v>4</c:v>
                </c:pt>
                <c:pt idx="141">
                  <c:v>4</c:v>
                </c:pt>
                <c:pt idx="142">
                  <c:v>4</c:v>
                </c:pt>
                <c:pt idx="143">
                  <c:v>4</c:v>
                </c:pt>
                <c:pt idx="144">
                  <c:v>4</c:v>
                </c:pt>
                <c:pt idx="145">
                  <c:v>4</c:v>
                </c:pt>
                <c:pt idx="146">
                  <c:v>4</c:v>
                </c:pt>
                <c:pt idx="147">
                  <c:v>4</c:v>
                </c:pt>
                <c:pt idx="148">
                  <c:v>4</c:v>
                </c:pt>
                <c:pt idx="149">
                  <c:v>4</c:v>
                </c:pt>
                <c:pt idx="150">
                  <c:v>4</c:v>
                </c:pt>
              </c:numCache>
            </c:numRef>
          </c:val>
          <c:smooth val="0"/>
          <c:extLst>
            <c:ext xmlns:c16="http://schemas.microsoft.com/office/drawing/2014/chart" uri="{C3380CC4-5D6E-409C-BE32-E72D297353CC}">
              <c16:uniqueId val="{00000002-247B-4D5F-A264-54A9AC6604A4}"/>
            </c:ext>
          </c:extLst>
        </c:ser>
        <c:ser>
          <c:idx val="3"/>
          <c:order val="3"/>
          <c:tx>
            <c:strRef>
              <c:f>Sheet4!$G$2</c:f>
              <c:strCache>
                <c:ptCount val="1"/>
                <c:pt idx="0">
                  <c:v>$30,000</c:v>
                </c:pt>
              </c:strCache>
            </c:strRef>
          </c:tx>
          <c:spPr>
            <a:ln w="25400" cap="rnd">
              <a:solidFill>
                <a:schemeClr val="tx1"/>
              </a:solidFill>
              <a:round/>
            </a:ln>
            <a:effectLst/>
          </c:spPr>
          <c:marker>
            <c:symbol val="none"/>
          </c:marker>
          <c:cat>
            <c:numRef>
              <c:f>Sheet4!$A$3:$A$153</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Sheet4!$G$3:$G$153</c:f>
              <c:numCache>
                <c:formatCode>General</c:formatCode>
                <c:ptCount val="151"/>
                <c:pt idx="0">
                  <c:v>60</c:v>
                </c:pt>
                <c:pt idx="1">
                  <c:v>60</c:v>
                </c:pt>
                <c:pt idx="2">
                  <c:v>60</c:v>
                </c:pt>
                <c:pt idx="3">
                  <c:v>60</c:v>
                </c:pt>
                <c:pt idx="4">
                  <c:v>60</c:v>
                </c:pt>
                <c:pt idx="5">
                  <c:v>60</c:v>
                </c:pt>
                <c:pt idx="6">
                  <c:v>60</c:v>
                </c:pt>
                <c:pt idx="7">
                  <c:v>58</c:v>
                </c:pt>
                <c:pt idx="8">
                  <c:v>56</c:v>
                </c:pt>
                <c:pt idx="9">
                  <c:v>54</c:v>
                </c:pt>
                <c:pt idx="10">
                  <c:v>52</c:v>
                </c:pt>
                <c:pt idx="11">
                  <c:v>50</c:v>
                </c:pt>
                <c:pt idx="12">
                  <c:v>48</c:v>
                </c:pt>
                <c:pt idx="13">
                  <c:v>47</c:v>
                </c:pt>
                <c:pt idx="14">
                  <c:v>45</c:v>
                </c:pt>
                <c:pt idx="15">
                  <c:v>44</c:v>
                </c:pt>
                <c:pt idx="16">
                  <c:v>42</c:v>
                </c:pt>
                <c:pt idx="17">
                  <c:v>41</c:v>
                </c:pt>
                <c:pt idx="18">
                  <c:v>39</c:v>
                </c:pt>
                <c:pt idx="19">
                  <c:v>38</c:v>
                </c:pt>
                <c:pt idx="20">
                  <c:v>37</c:v>
                </c:pt>
                <c:pt idx="21">
                  <c:v>36</c:v>
                </c:pt>
                <c:pt idx="22">
                  <c:v>34</c:v>
                </c:pt>
                <c:pt idx="23">
                  <c:v>33</c:v>
                </c:pt>
                <c:pt idx="24">
                  <c:v>32</c:v>
                </c:pt>
                <c:pt idx="25">
                  <c:v>31</c:v>
                </c:pt>
                <c:pt idx="26">
                  <c:v>30</c:v>
                </c:pt>
                <c:pt idx="27">
                  <c:v>29</c:v>
                </c:pt>
                <c:pt idx="28">
                  <c:v>28</c:v>
                </c:pt>
                <c:pt idx="29">
                  <c:v>27</c:v>
                </c:pt>
                <c:pt idx="30">
                  <c:v>26</c:v>
                </c:pt>
                <c:pt idx="31">
                  <c:v>25</c:v>
                </c:pt>
                <c:pt idx="32">
                  <c:v>25</c:v>
                </c:pt>
                <c:pt idx="33">
                  <c:v>24</c:v>
                </c:pt>
                <c:pt idx="34">
                  <c:v>23</c:v>
                </c:pt>
                <c:pt idx="35">
                  <c:v>22</c:v>
                </c:pt>
                <c:pt idx="36">
                  <c:v>22</c:v>
                </c:pt>
                <c:pt idx="37">
                  <c:v>21</c:v>
                </c:pt>
                <c:pt idx="38">
                  <c:v>20</c:v>
                </c:pt>
                <c:pt idx="39">
                  <c:v>20</c:v>
                </c:pt>
                <c:pt idx="40">
                  <c:v>19</c:v>
                </c:pt>
                <c:pt idx="41">
                  <c:v>19</c:v>
                </c:pt>
                <c:pt idx="42">
                  <c:v>18</c:v>
                </c:pt>
                <c:pt idx="43">
                  <c:v>18</c:v>
                </c:pt>
                <c:pt idx="44">
                  <c:v>17</c:v>
                </c:pt>
                <c:pt idx="45">
                  <c:v>17</c:v>
                </c:pt>
                <c:pt idx="46">
                  <c:v>17</c:v>
                </c:pt>
                <c:pt idx="47">
                  <c:v>16</c:v>
                </c:pt>
                <c:pt idx="48">
                  <c:v>16</c:v>
                </c:pt>
                <c:pt idx="49">
                  <c:v>15</c:v>
                </c:pt>
                <c:pt idx="50">
                  <c:v>15</c:v>
                </c:pt>
                <c:pt idx="51">
                  <c:v>15</c:v>
                </c:pt>
                <c:pt idx="52">
                  <c:v>14</c:v>
                </c:pt>
                <c:pt idx="53">
                  <c:v>14</c:v>
                </c:pt>
                <c:pt idx="54">
                  <c:v>14</c:v>
                </c:pt>
                <c:pt idx="55">
                  <c:v>14</c:v>
                </c:pt>
                <c:pt idx="56">
                  <c:v>13</c:v>
                </c:pt>
                <c:pt idx="57">
                  <c:v>13</c:v>
                </c:pt>
                <c:pt idx="58">
                  <c:v>13</c:v>
                </c:pt>
                <c:pt idx="59">
                  <c:v>13</c:v>
                </c:pt>
                <c:pt idx="60">
                  <c:v>12</c:v>
                </c:pt>
                <c:pt idx="61">
                  <c:v>12</c:v>
                </c:pt>
                <c:pt idx="62">
                  <c:v>12</c:v>
                </c:pt>
                <c:pt idx="63">
                  <c:v>12</c:v>
                </c:pt>
                <c:pt idx="64">
                  <c:v>12</c:v>
                </c:pt>
                <c:pt idx="65">
                  <c:v>11</c:v>
                </c:pt>
                <c:pt idx="66">
                  <c:v>11</c:v>
                </c:pt>
                <c:pt idx="67">
                  <c:v>11</c:v>
                </c:pt>
                <c:pt idx="68">
                  <c:v>11</c:v>
                </c:pt>
                <c:pt idx="69">
                  <c:v>11</c:v>
                </c:pt>
                <c:pt idx="70">
                  <c:v>11</c:v>
                </c:pt>
                <c:pt idx="71">
                  <c:v>10</c:v>
                </c:pt>
                <c:pt idx="72">
                  <c:v>10</c:v>
                </c:pt>
                <c:pt idx="73">
                  <c:v>10</c:v>
                </c:pt>
                <c:pt idx="74">
                  <c:v>10</c:v>
                </c:pt>
                <c:pt idx="75">
                  <c:v>10</c:v>
                </c:pt>
                <c:pt idx="76">
                  <c:v>10</c:v>
                </c:pt>
                <c:pt idx="77">
                  <c:v>10</c:v>
                </c:pt>
                <c:pt idx="78">
                  <c:v>9</c:v>
                </c:pt>
                <c:pt idx="79">
                  <c:v>9</c:v>
                </c:pt>
                <c:pt idx="80">
                  <c:v>9</c:v>
                </c:pt>
                <c:pt idx="81">
                  <c:v>9</c:v>
                </c:pt>
                <c:pt idx="82">
                  <c:v>9</c:v>
                </c:pt>
                <c:pt idx="83">
                  <c:v>9</c:v>
                </c:pt>
                <c:pt idx="84">
                  <c:v>9</c:v>
                </c:pt>
                <c:pt idx="85">
                  <c:v>9</c:v>
                </c:pt>
                <c:pt idx="86">
                  <c:v>9</c:v>
                </c:pt>
                <c:pt idx="87">
                  <c:v>8</c:v>
                </c:pt>
                <c:pt idx="88">
                  <c:v>8</c:v>
                </c:pt>
                <c:pt idx="89">
                  <c:v>8</c:v>
                </c:pt>
                <c:pt idx="90">
                  <c:v>8</c:v>
                </c:pt>
                <c:pt idx="91">
                  <c:v>8</c:v>
                </c:pt>
                <c:pt idx="92">
                  <c:v>8</c:v>
                </c:pt>
                <c:pt idx="93">
                  <c:v>8</c:v>
                </c:pt>
                <c:pt idx="94">
                  <c:v>8</c:v>
                </c:pt>
                <c:pt idx="95">
                  <c:v>8</c:v>
                </c:pt>
                <c:pt idx="96">
                  <c:v>8</c:v>
                </c:pt>
                <c:pt idx="97">
                  <c:v>8</c:v>
                </c:pt>
                <c:pt idx="98">
                  <c:v>8</c:v>
                </c:pt>
                <c:pt idx="99">
                  <c:v>8</c:v>
                </c:pt>
                <c:pt idx="100">
                  <c:v>7</c:v>
                </c:pt>
                <c:pt idx="101">
                  <c:v>7</c:v>
                </c:pt>
                <c:pt idx="102">
                  <c:v>7</c:v>
                </c:pt>
                <c:pt idx="103">
                  <c:v>7</c:v>
                </c:pt>
                <c:pt idx="104">
                  <c:v>7</c:v>
                </c:pt>
                <c:pt idx="105">
                  <c:v>7</c:v>
                </c:pt>
                <c:pt idx="106">
                  <c:v>7</c:v>
                </c:pt>
                <c:pt idx="107">
                  <c:v>7</c:v>
                </c:pt>
                <c:pt idx="108">
                  <c:v>7</c:v>
                </c:pt>
                <c:pt idx="109">
                  <c:v>7</c:v>
                </c:pt>
                <c:pt idx="110">
                  <c:v>7</c:v>
                </c:pt>
                <c:pt idx="111">
                  <c:v>7</c:v>
                </c:pt>
                <c:pt idx="112">
                  <c:v>7</c:v>
                </c:pt>
                <c:pt idx="113">
                  <c:v>7</c:v>
                </c:pt>
                <c:pt idx="114">
                  <c:v>7</c:v>
                </c:pt>
                <c:pt idx="115">
                  <c:v>7</c:v>
                </c:pt>
                <c:pt idx="116">
                  <c:v>7</c:v>
                </c:pt>
                <c:pt idx="117">
                  <c:v>6</c:v>
                </c:pt>
                <c:pt idx="118">
                  <c:v>6</c:v>
                </c:pt>
                <c:pt idx="119">
                  <c:v>6</c:v>
                </c:pt>
                <c:pt idx="120">
                  <c:v>6</c:v>
                </c:pt>
                <c:pt idx="121">
                  <c:v>6</c:v>
                </c:pt>
                <c:pt idx="122">
                  <c:v>6</c:v>
                </c:pt>
                <c:pt idx="123">
                  <c:v>6</c:v>
                </c:pt>
                <c:pt idx="124">
                  <c:v>6</c:v>
                </c:pt>
                <c:pt idx="125">
                  <c:v>6</c:v>
                </c:pt>
                <c:pt idx="126">
                  <c:v>6</c:v>
                </c:pt>
                <c:pt idx="127">
                  <c:v>6</c:v>
                </c:pt>
                <c:pt idx="128">
                  <c:v>6</c:v>
                </c:pt>
                <c:pt idx="129">
                  <c:v>6</c:v>
                </c:pt>
                <c:pt idx="130">
                  <c:v>6</c:v>
                </c:pt>
                <c:pt idx="131">
                  <c:v>6</c:v>
                </c:pt>
                <c:pt idx="132">
                  <c:v>6</c:v>
                </c:pt>
                <c:pt idx="133">
                  <c:v>6</c:v>
                </c:pt>
                <c:pt idx="134">
                  <c:v>6</c:v>
                </c:pt>
                <c:pt idx="135">
                  <c:v>6</c:v>
                </c:pt>
                <c:pt idx="136">
                  <c:v>6</c:v>
                </c:pt>
                <c:pt idx="137">
                  <c:v>6</c:v>
                </c:pt>
                <c:pt idx="138">
                  <c:v>6</c:v>
                </c:pt>
                <c:pt idx="139">
                  <c:v>6</c:v>
                </c:pt>
                <c:pt idx="140">
                  <c:v>6</c:v>
                </c:pt>
                <c:pt idx="141">
                  <c:v>6</c:v>
                </c:pt>
                <c:pt idx="142">
                  <c:v>6</c:v>
                </c:pt>
                <c:pt idx="143">
                  <c:v>5</c:v>
                </c:pt>
                <c:pt idx="144">
                  <c:v>5</c:v>
                </c:pt>
                <c:pt idx="145">
                  <c:v>5</c:v>
                </c:pt>
                <c:pt idx="146">
                  <c:v>5</c:v>
                </c:pt>
                <c:pt idx="147">
                  <c:v>5</c:v>
                </c:pt>
                <c:pt idx="148">
                  <c:v>5</c:v>
                </c:pt>
                <c:pt idx="149">
                  <c:v>5</c:v>
                </c:pt>
                <c:pt idx="150">
                  <c:v>5</c:v>
                </c:pt>
              </c:numCache>
            </c:numRef>
          </c:val>
          <c:smooth val="0"/>
          <c:extLst>
            <c:ext xmlns:c16="http://schemas.microsoft.com/office/drawing/2014/chart" uri="{C3380CC4-5D6E-409C-BE32-E72D297353CC}">
              <c16:uniqueId val="{00000003-247B-4D5F-A264-54A9AC6604A4}"/>
            </c:ext>
          </c:extLst>
        </c:ser>
        <c:ser>
          <c:idx val="4"/>
          <c:order val="4"/>
          <c:tx>
            <c:strRef>
              <c:f>Sheet4!$H$2</c:f>
              <c:strCache>
                <c:ptCount val="1"/>
                <c:pt idx="0">
                  <c:v>$50,000</c:v>
                </c:pt>
              </c:strCache>
            </c:strRef>
          </c:tx>
          <c:spPr>
            <a:ln w="25400" cap="rnd">
              <a:solidFill>
                <a:srgbClr val="EC008B"/>
              </a:solidFill>
              <a:round/>
            </a:ln>
            <a:effectLst/>
          </c:spPr>
          <c:marker>
            <c:symbol val="none"/>
          </c:marker>
          <c:cat>
            <c:numRef>
              <c:f>Sheet4!$A$3:$A$153</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Sheet4!$H$3:$H$153</c:f>
              <c:numCache>
                <c:formatCode>General</c:formatCode>
                <c:ptCount val="151"/>
                <c:pt idx="0">
                  <c:v>60</c:v>
                </c:pt>
                <c:pt idx="1">
                  <c:v>60</c:v>
                </c:pt>
                <c:pt idx="2">
                  <c:v>60</c:v>
                </c:pt>
                <c:pt idx="3">
                  <c:v>60</c:v>
                </c:pt>
                <c:pt idx="4">
                  <c:v>60</c:v>
                </c:pt>
                <c:pt idx="5">
                  <c:v>60</c:v>
                </c:pt>
                <c:pt idx="6">
                  <c:v>60</c:v>
                </c:pt>
                <c:pt idx="7">
                  <c:v>60</c:v>
                </c:pt>
                <c:pt idx="8">
                  <c:v>60</c:v>
                </c:pt>
                <c:pt idx="9">
                  <c:v>60</c:v>
                </c:pt>
                <c:pt idx="10">
                  <c:v>58</c:v>
                </c:pt>
                <c:pt idx="11">
                  <c:v>56</c:v>
                </c:pt>
                <c:pt idx="12">
                  <c:v>54</c:v>
                </c:pt>
                <c:pt idx="13">
                  <c:v>53</c:v>
                </c:pt>
                <c:pt idx="14">
                  <c:v>51</c:v>
                </c:pt>
                <c:pt idx="15">
                  <c:v>49</c:v>
                </c:pt>
                <c:pt idx="16">
                  <c:v>48</c:v>
                </c:pt>
                <c:pt idx="17">
                  <c:v>47</c:v>
                </c:pt>
                <c:pt idx="18">
                  <c:v>45</c:v>
                </c:pt>
                <c:pt idx="19">
                  <c:v>44</c:v>
                </c:pt>
                <c:pt idx="20">
                  <c:v>43</c:v>
                </c:pt>
                <c:pt idx="21">
                  <c:v>41</c:v>
                </c:pt>
                <c:pt idx="22">
                  <c:v>40</c:v>
                </c:pt>
                <c:pt idx="23">
                  <c:v>39</c:v>
                </c:pt>
                <c:pt idx="24">
                  <c:v>38</c:v>
                </c:pt>
                <c:pt idx="25">
                  <c:v>37</c:v>
                </c:pt>
                <c:pt idx="26">
                  <c:v>36</c:v>
                </c:pt>
                <c:pt idx="27">
                  <c:v>35</c:v>
                </c:pt>
                <c:pt idx="28">
                  <c:v>34</c:v>
                </c:pt>
                <c:pt idx="29">
                  <c:v>33</c:v>
                </c:pt>
                <c:pt idx="30">
                  <c:v>32</c:v>
                </c:pt>
                <c:pt idx="31">
                  <c:v>31</c:v>
                </c:pt>
                <c:pt idx="32">
                  <c:v>31</c:v>
                </c:pt>
                <c:pt idx="33">
                  <c:v>30</c:v>
                </c:pt>
                <c:pt idx="34">
                  <c:v>29</c:v>
                </c:pt>
                <c:pt idx="35">
                  <c:v>28</c:v>
                </c:pt>
                <c:pt idx="36">
                  <c:v>28</c:v>
                </c:pt>
                <c:pt idx="37">
                  <c:v>27</c:v>
                </c:pt>
                <c:pt idx="38">
                  <c:v>26</c:v>
                </c:pt>
                <c:pt idx="39">
                  <c:v>26</c:v>
                </c:pt>
                <c:pt idx="40">
                  <c:v>25</c:v>
                </c:pt>
                <c:pt idx="41">
                  <c:v>25</c:v>
                </c:pt>
                <c:pt idx="42">
                  <c:v>24</c:v>
                </c:pt>
                <c:pt idx="43">
                  <c:v>24</c:v>
                </c:pt>
                <c:pt idx="44">
                  <c:v>23</c:v>
                </c:pt>
                <c:pt idx="45">
                  <c:v>23</c:v>
                </c:pt>
                <c:pt idx="46">
                  <c:v>22</c:v>
                </c:pt>
                <c:pt idx="47">
                  <c:v>22</c:v>
                </c:pt>
                <c:pt idx="48">
                  <c:v>21</c:v>
                </c:pt>
                <c:pt idx="49">
                  <c:v>21</c:v>
                </c:pt>
                <c:pt idx="50">
                  <c:v>20</c:v>
                </c:pt>
                <c:pt idx="51">
                  <c:v>20</c:v>
                </c:pt>
                <c:pt idx="52">
                  <c:v>20</c:v>
                </c:pt>
                <c:pt idx="53">
                  <c:v>19</c:v>
                </c:pt>
                <c:pt idx="54">
                  <c:v>19</c:v>
                </c:pt>
                <c:pt idx="55">
                  <c:v>19</c:v>
                </c:pt>
                <c:pt idx="56">
                  <c:v>18</c:v>
                </c:pt>
                <c:pt idx="57">
                  <c:v>18</c:v>
                </c:pt>
                <c:pt idx="58">
                  <c:v>18</c:v>
                </c:pt>
                <c:pt idx="59">
                  <c:v>17</c:v>
                </c:pt>
                <c:pt idx="60">
                  <c:v>17</c:v>
                </c:pt>
                <c:pt idx="61">
                  <c:v>17</c:v>
                </c:pt>
                <c:pt idx="62">
                  <c:v>17</c:v>
                </c:pt>
                <c:pt idx="63">
                  <c:v>16</c:v>
                </c:pt>
                <c:pt idx="64">
                  <c:v>16</c:v>
                </c:pt>
                <c:pt idx="65">
                  <c:v>16</c:v>
                </c:pt>
                <c:pt idx="66">
                  <c:v>16</c:v>
                </c:pt>
                <c:pt idx="67">
                  <c:v>15</c:v>
                </c:pt>
                <c:pt idx="68">
                  <c:v>15</c:v>
                </c:pt>
                <c:pt idx="69">
                  <c:v>15</c:v>
                </c:pt>
                <c:pt idx="70">
                  <c:v>15</c:v>
                </c:pt>
                <c:pt idx="71">
                  <c:v>15</c:v>
                </c:pt>
                <c:pt idx="72">
                  <c:v>14</c:v>
                </c:pt>
                <c:pt idx="73">
                  <c:v>14</c:v>
                </c:pt>
                <c:pt idx="74">
                  <c:v>14</c:v>
                </c:pt>
                <c:pt idx="75">
                  <c:v>14</c:v>
                </c:pt>
                <c:pt idx="76">
                  <c:v>14</c:v>
                </c:pt>
                <c:pt idx="77">
                  <c:v>14</c:v>
                </c:pt>
                <c:pt idx="78">
                  <c:v>13</c:v>
                </c:pt>
                <c:pt idx="79">
                  <c:v>13</c:v>
                </c:pt>
                <c:pt idx="80">
                  <c:v>13</c:v>
                </c:pt>
                <c:pt idx="81">
                  <c:v>13</c:v>
                </c:pt>
                <c:pt idx="82">
                  <c:v>13</c:v>
                </c:pt>
                <c:pt idx="83">
                  <c:v>13</c:v>
                </c:pt>
                <c:pt idx="84">
                  <c:v>13</c:v>
                </c:pt>
                <c:pt idx="85">
                  <c:v>12</c:v>
                </c:pt>
                <c:pt idx="86">
                  <c:v>12</c:v>
                </c:pt>
                <c:pt idx="87">
                  <c:v>12</c:v>
                </c:pt>
                <c:pt idx="88">
                  <c:v>12</c:v>
                </c:pt>
                <c:pt idx="89">
                  <c:v>12</c:v>
                </c:pt>
                <c:pt idx="90">
                  <c:v>12</c:v>
                </c:pt>
                <c:pt idx="91">
                  <c:v>12</c:v>
                </c:pt>
                <c:pt idx="92">
                  <c:v>11</c:v>
                </c:pt>
                <c:pt idx="93">
                  <c:v>11</c:v>
                </c:pt>
                <c:pt idx="94">
                  <c:v>11</c:v>
                </c:pt>
                <c:pt idx="95">
                  <c:v>11</c:v>
                </c:pt>
                <c:pt idx="96">
                  <c:v>11</c:v>
                </c:pt>
                <c:pt idx="97">
                  <c:v>11</c:v>
                </c:pt>
                <c:pt idx="98">
                  <c:v>11</c:v>
                </c:pt>
                <c:pt idx="99">
                  <c:v>11</c:v>
                </c:pt>
                <c:pt idx="100">
                  <c:v>11</c:v>
                </c:pt>
                <c:pt idx="101">
                  <c:v>11</c:v>
                </c:pt>
                <c:pt idx="102">
                  <c:v>10</c:v>
                </c:pt>
                <c:pt idx="103">
                  <c:v>10</c:v>
                </c:pt>
                <c:pt idx="104">
                  <c:v>10</c:v>
                </c:pt>
                <c:pt idx="105">
                  <c:v>10</c:v>
                </c:pt>
                <c:pt idx="106">
                  <c:v>10</c:v>
                </c:pt>
                <c:pt idx="107">
                  <c:v>10</c:v>
                </c:pt>
                <c:pt idx="108">
                  <c:v>10</c:v>
                </c:pt>
                <c:pt idx="109">
                  <c:v>10</c:v>
                </c:pt>
                <c:pt idx="110">
                  <c:v>10</c:v>
                </c:pt>
                <c:pt idx="111">
                  <c:v>10</c:v>
                </c:pt>
                <c:pt idx="112">
                  <c:v>10</c:v>
                </c:pt>
                <c:pt idx="113">
                  <c:v>10</c:v>
                </c:pt>
                <c:pt idx="114">
                  <c:v>9</c:v>
                </c:pt>
                <c:pt idx="115">
                  <c:v>9</c:v>
                </c:pt>
                <c:pt idx="116">
                  <c:v>9</c:v>
                </c:pt>
                <c:pt idx="117">
                  <c:v>9</c:v>
                </c:pt>
                <c:pt idx="118">
                  <c:v>9</c:v>
                </c:pt>
                <c:pt idx="119">
                  <c:v>9</c:v>
                </c:pt>
                <c:pt idx="120">
                  <c:v>9</c:v>
                </c:pt>
                <c:pt idx="121">
                  <c:v>9</c:v>
                </c:pt>
                <c:pt idx="122">
                  <c:v>9</c:v>
                </c:pt>
                <c:pt idx="123">
                  <c:v>9</c:v>
                </c:pt>
                <c:pt idx="124">
                  <c:v>9</c:v>
                </c:pt>
                <c:pt idx="125">
                  <c:v>9</c:v>
                </c:pt>
                <c:pt idx="126">
                  <c:v>9</c:v>
                </c:pt>
                <c:pt idx="127">
                  <c:v>9</c:v>
                </c:pt>
                <c:pt idx="128">
                  <c:v>9</c:v>
                </c:pt>
                <c:pt idx="129">
                  <c:v>8</c:v>
                </c:pt>
                <c:pt idx="130">
                  <c:v>8</c:v>
                </c:pt>
                <c:pt idx="131">
                  <c:v>8</c:v>
                </c:pt>
                <c:pt idx="132">
                  <c:v>8</c:v>
                </c:pt>
                <c:pt idx="133">
                  <c:v>8</c:v>
                </c:pt>
                <c:pt idx="134">
                  <c:v>8</c:v>
                </c:pt>
                <c:pt idx="135">
                  <c:v>8</c:v>
                </c:pt>
                <c:pt idx="136">
                  <c:v>8</c:v>
                </c:pt>
                <c:pt idx="137">
                  <c:v>8</c:v>
                </c:pt>
                <c:pt idx="138">
                  <c:v>8</c:v>
                </c:pt>
                <c:pt idx="139">
                  <c:v>8</c:v>
                </c:pt>
                <c:pt idx="140">
                  <c:v>8</c:v>
                </c:pt>
                <c:pt idx="141">
                  <c:v>8</c:v>
                </c:pt>
                <c:pt idx="142">
                  <c:v>8</c:v>
                </c:pt>
                <c:pt idx="143">
                  <c:v>8</c:v>
                </c:pt>
                <c:pt idx="144">
                  <c:v>8</c:v>
                </c:pt>
                <c:pt idx="145">
                  <c:v>8</c:v>
                </c:pt>
                <c:pt idx="146">
                  <c:v>8</c:v>
                </c:pt>
                <c:pt idx="147">
                  <c:v>8</c:v>
                </c:pt>
                <c:pt idx="148">
                  <c:v>8</c:v>
                </c:pt>
                <c:pt idx="149">
                  <c:v>8</c:v>
                </c:pt>
                <c:pt idx="150">
                  <c:v>7</c:v>
                </c:pt>
              </c:numCache>
            </c:numRef>
          </c:val>
          <c:smooth val="0"/>
          <c:extLst>
            <c:ext xmlns:c16="http://schemas.microsoft.com/office/drawing/2014/chart" uri="{C3380CC4-5D6E-409C-BE32-E72D297353CC}">
              <c16:uniqueId val="{00000004-247B-4D5F-A264-54A9AC6604A4}"/>
            </c:ext>
          </c:extLst>
        </c:ser>
        <c:ser>
          <c:idx val="5"/>
          <c:order val="5"/>
          <c:tx>
            <c:strRef>
              <c:f>Sheet4!$I$2</c:f>
              <c:strCache>
                <c:ptCount val="1"/>
                <c:pt idx="0">
                  <c:v>$100,000</c:v>
                </c:pt>
              </c:strCache>
            </c:strRef>
          </c:tx>
          <c:spPr>
            <a:ln w="28575" cap="rnd">
              <a:solidFill>
                <a:schemeClr val="bg2"/>
              </a:solidFill>
              <a:round/>
            </a:ln>
            <a:effectLst/>
          </c:spPr>
          <c:marker>
            <c:symbol val="none"/>
          </c:marker>
          <c:cat>
            <c:numRef>
              <c:f>Sheet4!$A$3:$A$153</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Sheet4!$I$3:$I$153</c:f>
              <c:numCache>
                <c:formatCode>General</c:formatCode>
                <c:ptCount val="151"/>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58</c:v>
                </c:pt>
                <c:pt idx="16">
                  <c:v>57</c:v>
                </c:pt>
                <c:pt idx="17">
                  <c:v>56</c:v>
                </c:pt>
                <c:pt idx="18">
                  <c:v>54</c:v>
                </c:pt>
                <c:pt idx="19">
                  <c:v>53</c:v>
                </c:pt>
                <c:pt idx="20">
                  <c:v>52</c:v>
                </c:pt>
                <c:pt idx="21">
                  <c:v>51</c:v>
                </c:pt>
                <c:pt idx="22">
                  <c:v>50</c:v>
                </c:pt>
                <c:pt idx="23">
                  <c:v>49</c:v>
                </c:pt>
                <c:pt idx="24">
                  <c:v>48</c:v>
                </c:pt>
                <c:pt idx="25">
                  <c:v>46</c:v>
                </c:pt>
                <c:pt idx="26">
                  <c:v>46</c:v>
                </c:pt>
                <c:pt idx="27">
                  <c:v>45</c:v>
                </c:pt>
                <c:pt idx="28">
                  <c:v>44</c:v>
                </c:pt>
                <c:pt idx="29">
                  <c:v>43</c:v>
                </c:pt>
                <c:pt idx="30">
                  <c:v>42</c:v>
                </c:pt>
                <c:pt idx="31">
                  <c:v>41</c:v>
                </c:pt>
                <c:pt idx="32">
                  <c:v>40</c:v>
                </c:pt>
                <c:pt idx="33">
                  <c:v>39</c:v>
                </c:pt>
                <c:pt idx="34">
                  <c:v>39</c:v>
                </c:pt>
                <c:pt idx="35">
                  <c:v>38</c:v>
                </c:pt>
                <c:pt idx="36">
                  <c:v>37</c:v>
                </c:pt>
                <c:pt idx="37">
                  <c:v>37</c:v>
                </c:pt>
                <c:pt idx="38">
                  <c:v>36</c:v>
                </c:pt>
                <c:pt idx="39">
                  <c:v>35</c:v>
                </c:pt>
                <c:pt idx="40">
                  <c:v>35</c:v>
                </c:pt>
                <c:pt idx="41">
                  <c:v>34</c:v>
                </c:pt>
                <c:pt idx="42">
                  <c:v>33</c:v>
                </c:pt>
                <c:pt idx="43">
                  <c:v>33</c:v>
                </c:pt>
                <c:pt idx="44">
                  <c:v>32</c:v>
                </c:pt>
                <c:pt idx="45">
                  <c:v>32</c:v>
                </c:pt>
                <c:pt idx="46">
                  <c:v>31</c:v>
                </c:pt>
                <c:pt idx="47">
                  <c:v>31</c:v>
                </c:pt>
                <c:pt idx="48">
                  <c:v>30</c:v>
                </c:pt>
                <c:pt idx="49">
                  <c:v>30</c:v>
                </c:pt>
                <c:pt idx="50">
                  <c:v>29</c:v>
                </c:pt>
                <c:pt idx="51">
                  <c:v>29</c:v>
                </c:pt>
                <c:pt idx="52">
                  <c:v>29</c:v>
                </c:pt>
                <c:pt idx="53">
                  <c:v>28</c:v>
                </c:pt>
                <c:pt idx="54">
                  <c:v>28</c:v>
                </c:pt>
                <c:pt idx="55">
                  <c:v>27</c:v>
                </c:pt>
                <c:pt idx="56">
                  <c:v>27</c:v>
                </c:pt>
                <c:pt idx="57">
                  <c:v>27</c:v>
                </c:pt>
                <c:pt idx="58">
                  <c:v>26</c:v>
                </c:pt>
                <c:pt idx="59">
                  <c:v>26</c:v>
                </c:pt>
                <c:pt idx="60">
                  <c:v>26</c:v>
                </c:pt>
                <c:pt idx="61">
                  <c:v>25</c:v>
                </c:pt>
                <c:pt idx="62">
                  <c:v>25</c:v>
                </c:pt>
                <c:pt idx="63">
                  <c:v>25</c:v>
                </c:pt>
                <c:pt idx="64">
                  <c:v>24</c:v>
                </c:pt>
                <c:pt idx="65">
                  <c:v>24</c:v>
                </c:pt>
                <c:pt idx="66">
                  <c:v>24</c:v>
                </c:pt>
                <c:pt idx="67">
                  <c:v>24</c:v>
                </c:pt>
                <c:pt idx="68">
                  <c:v>23</c:v>
                </c:pt>
                <c:pt idx="69">
                  <c:v>23</c:v>
                </c:pt>
                <c:pt idx="70">
                  <c:v>23</c:v>
                </c:pt>
                <c:pt idx="71">
                  <c:v>22</c:v>
                </c:pt>
                <c:pt idx="72">
                  <c:v>22</c:v>
                </c:pt>
                <c:pt idx="73">
                  <c:v>22</c:v>
                </c:pt>
                <c:pt idx="74">
                  <c:v>22</c:v>
                </c:pt>
                <c:pt idx="75">
                  <c:v>22</c:v>
                </c:pt>
                <c:pt idx="76">
                  <c:v>21</c:v>
                </c:pt>
                <c:pt idx="77">
                  <c:v>21</c:v>
                </c:pt>
                <c:pt idx="78">
                  <c:v>21</c:v>
                </c:pt>
                <c:pt idx="79">
                  <c:v>21</c:v>
                </c:pt>
                <c:pt idx="80">
                  <c:v>20</c:v>
                </c:pt>
                <c:pt idx="81">
                  <c:v>20</c:v>
                </c:pt>
                <c:pt idx="82">
                  <c:v>20</c:v>
                </c:pt>
                <c:pt idx="83">
                  <c:v>20</c:v>
                </c:pt>
                <c:pt idx="84">
                  <c:v>20</c:v>
                </c:pt>
                <c:pt idx="85">
                  <c:v>19</c:v>
                </c:pt>
                <c:pt idx="86">
                  <c:v>19</c:v>
                </c:pt>
                <c:pt idx="87">
                  <c:v>19</c:v>
                </c:pt>
                <c:pt idx="88">
                  <c:v>19</c:v>
                </c:pt>
                <c:pt idx="89">
                  <c:v>19</c:v>
                </c:pt>
                <c:pt idx="90">
                  <c:v>19</c:v>
                </c:pt>
                <c:pt idx="91">
                  <c:v>18</c:v>
                </c:pt>
                <c:pt idx="92">
                  <c:v>18</c:v>
                </c:pt>
                <c:pt idx="93">
                  <c:v>18</c:v>
                </c:pt>
                <c:pt idx="94">
                  <c:v>18</c:v>
                </c:pt>
                <c:pt idx="95">
                  <c:v>18</c:v>
                </c:pt>
                <c:pt idx="96">
                  <c:v>18</c:v>
                </c:pt>
                <c:pt idx="97">
                  <c:v>17</c:v>
                </c:pt>
                <c:pt idx="98">
                  <c:v>17</c:v>
                </c:pt>
                <c:pt idx="99">
                  <c:v>17</c:v>
                </c:pt>
                <c:pt idx="100">
                  <c:v>17</c:v>
                </c:pt>
                <c:pt idx="101">
                  <c:v>17</c:v>
                </c:pt>
                <c:pt idx="102">
                  <c:v>17</c:v>
                </c:pt>
                <c:pt idx="103">
                  <c:v>17</c:v>
                </c:pt>
                <c:pt idx="104">
                  <c:v>16</c:v>
                </c:pt>
                <c:pt idx="105">
                  <c:v>16</c:v>
                </c:pt>
                <c:pt idx="106">
                  <c:v>16</c:v>
                </c:pt>
                <c:pt idx="107">
                  <c:v>16</c:v>
                </c:pt>
                <c:pt idx="108">
                  <c:v>16</c:v>
                </c:pt>
                <c:pt idx="109">
                  <c:v>16</c:v>
                </c:pt>
                <c:pt idx="110">
                  <c:v>16</c:v>
                </c:pt>
                <c:pt idx="111">
                  <c:v>16</c:v>
                </c:pt>
                <c:pt idx="112">
                  <c:v>16</c:v>
                </c:pt>
                <c:pt idx="113">
                  <c:v>15</c:v>
                </c:pt>
                <c:pt idx="114">
                  <c:v>15</c:v>
                </c:pt>
                <c:pt idx="115">
                  <c:v>15</c:v>
                </c:pt>
                <c:pt idx="116">
                  <c:v>15</c:v>
                </c:pt>
                <c:pt idx="117">
                  <c:v>15</c:v>
                </c:pt>
                <c:pt idx="118">
                  <c:v>15</c:v>
                </c:pt>
                <c:pt idx="119">
                  <c:v>15</c:v>
                </c:pt>
                <c:pt idx="120">
                  <c:v>15</c:v>
                </c:pt>
                <c:pt idx="121">
                  <c:v>15</c:v>
                </c:pt>
                <c:pt idx="122">
                  <c:v>14</c:v>
                </c:pt>
                <c:pt idx="123">
                  <c:v>14</c:v>
                </c:pt>
                <c:pt idx="124">
                  <c:v>14</c:v>
                </c:pt>
                <c:pt idx="125">
                  <c:v>14</c:v>
                </c:pt>
                <c:pt idx="126">
                  <c:v>14</c:v>
                </c:pt>
                <c:pt idx="127">
                  <c:v>14</c:v>
                </c:pt>
                <c:pt idx="128">
                  <c:v>14</c:v>
                </c:pt>
                <c:pt idx="129">
                  <c:v>14</c:v>
                </c:pt>
                <c:pt idx="130">
                  <c:v>14</c:v>
                </c:pt>
                <c:pt idx="131">
                  <c:v>14</c:v>
                </c:pt>
                <c:pt idx="132">
                  <c:v>14</c:v>
                </c:pt>
                <c:pt idx="133">
                  <c:v>13</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12</c:v>
                </c:pt>
                <c:pt idx="147">
                  <c:v>12</c:v>
                </c:pt>
                <c:pt idx="148">
                  <c:v>12</c:v>
                </c:pt>
                <c:pt idx="149">
                  <c:v>12</c:v>
                </c:pt>
                <c:pt idx="150">
                  <c:v>12</c:v>
                </c:pt>
              </c:numCache>
            </c:numRef>
          </c:val>
          <c:smooth val="0"/>
          <c:extLst>
            <c:ext xmlns:c16="http://schemas.microsoft.com/office/drawing/2014/chart" uri="{C3380CC4-5D6E-409C-BE32-E72D297353CC}">
              <c16:uniqueId val="{00000000-22B3-4D6E-A2C6-87664B15704B}"/>
            </c:ext>
          </c:extLst>
        </c:ser>
        <c:ser>
          <c:idx val="6"/>
          <c:order val="6"/>
          <c:tx>
            <c:strRef>
              <c:f>Sheet4!$J$2</c:f>
              <c:strCache>
                <c:ptCount val="1"/>
                <c:pt idx="0">
                  <c:v>$150,000</c:v>
                </c:pt>
              </c:strCache>
            </c:strRef>
          </c:tx>
          <c:spPr>
            <a:ln w="28575" cap="rnd">
              <a:solidFill>
                <a:schemeClr val="accent2"/>
              </a:solidFill>
              <a:round/>
            </a:ln>
            <a:effectLst/>
          </c:spPr>
          <c:marker>
            <c:symbol val="none"/>
          </c:marker>
          <c:cat>
            <c:numRef>
              <c:f>Sheet4!$A$3:$A$153</c:f>
              <c:numCache>
                <c:formatCode>"$"#,##0_);[Red]\("$"#,##0\)</c:formatCode>
                <c:ptCount val="151"/>
                <c:pt idx="0">
                  <c:v>5000</c:v>
                </c:pt>
                <c:pt idx="1">
                  <c:v>5500</c:v>
                </c:pt>
                <c:pt idx="2">
                  <c:v>6000</c:v>
                </c:pt>
                <c:pt idx="3">
                  <c:v>6500</c:v>
                </c:pt>
                <c:pt idx="4">
                  <c:v>7000</c:v>
                </c:pt>
                <c:pt idx="5">
                  <c:v>7500</c:v>
                </c:pt>
                <c:pt idx="6">
                  <c:v>8000</c:v>
                </c:pt>
                <c:pt idx="7">
                  <c:v>8500</c:v>
                </c:pt>
                <c:pt idx="8">
                  <c:v>9000</c:v>
                </c:pt>
                <c:pt idx="9">
                  <c:v>9500</c:v>
                </c:pt>
                <c:pt idx="10">
                  <c:v>10000</c:v>
                </c:pt>
                <c:pt idx="11">
                  <c:v>10500</c:v>
                </c:pt>
                <c:pt idx="12">
                  <c:v>11000</c:v>
                </c:pt>
                <c:pt idx="13">
                  <c:v>11500</c:v>
                </c:pt>
                <c:pt idx="14">
                  <c:v>12000</c:v>
                </c:pt>
                <c:pt idx="15">
                  <c:v>12500</c:v>
                </c:pt>
                <c:pt idx="16">
                  <c:v>13000</c:v>
                </c:pt>
                <c:pt idx="17">
                  <c:v>13500</c:v>
                </c:pt>
                <c:pt idx="18">
                  <c:v>14000</c:v>
                </c:pt>
                <c:pt idx="19">
                  <c:v>14500</c:v>
                </c:pt>
                <c:pt idx="20">
                  <c:v>15000</c:v>
                </c:pt>
                <c:pt idx="21">
                  <c:v>15500</c:v>
                </c:pt>
                <c:pt idx="22">
                  <c:v>16000</c:v>
                </c:pt>
                <c:pt idx="23">
                  <c:v>16500</c:v>
                </c:pt>
                <c:pt idx="24">
                  <c:v>17000</c:v>
                </c:pt>
                <c:pt idx="25">
                  <c:v>17500</c:v>
                </c:pt>
                <c:pt idx="26">
                  <c:v>18000</c:v>
                </c:pt>
                <c:pt idx="27">
                  <c:v>18500</c:v>
                </c:pt>
                <c:pt idx="28">
                  <c:v>19000</c:v>
                </c:pt>
                <c:pt idx="29">
                  <c:v>19500</c:v>
                </c:pt>
                <c:pt idx="30">
                  <c:v>20000</c:v>
                </c:pt>
                <c:pt idx="31">
                  <c:v>20500</c:v>
                </c:pt>
                <c:pt idx="32">
                  <c:v>21000</c:v>
                </c:pt>
                <c:pt idx="33">
                  <c:v>21500</c:v>
                </c:pt>
                <c:pt idx="34">
                  <c:v>22000</c:v>
                </c:pt>
                <c:pt idx="35">
                  <c:v>22500</c:v>
                </c:pt>
                <c:pt idx="36">
                  <c:v>23000</c:v>
                </c:pt>
                <c:pt idx="37">
                  <c:v>23500</c:v>
                </c:pt>
                <c:pt idx="38">
                  <c:v>24000</c:v>
                </c:pt>
                <c:pt idx="39">
                  <c:v>24500</c:v>
                </c:pt>
                <c:pt idx="40">
                  <c:v>25000</c:v>
                </c:pt>
                <c:pt idx="41">
                  <c:v>25500</c:v>
                </c:pt>
                <c:pt idx="42">
                  <c:v>26000</c:v>
                </c:pt>
                <c:pt idx="43">
                  <c:v>26500</c:v>
                </c:pt>
                <c:pt idx="44">
                  <c:v>27000</c:v>
                </c:pt>
                <c:pt idx="45">
                  <c:v>27500</c:v>
                </c:pt>
                <c:pt idx="46">
                  <c:v>28000</c:v>
                </c:pt>
                <c:pt idx="47">
                  <c:v>28500</c:v>
                </c:pt>
                <c:pt idx="48">
                  <c:v>29000</c:v>
                </c:pt>
                <c:pt idx="49">
                  <c:v>29500</c:v>
                </c:pt>
                <c:pt idx="50">
                  <c:v>30000</c:v>
                </c:pt>
                <c:pt idx="51">
                  <c:v>30500</c:v>
                </c:pt>
                <c:pt idx="52">
                  <c:v>31000</c:v>
                </c:pt>
                <c:pt idx="53">
                  <c:v>31500</c:v>
                </c:pt>
                <c:pt idx="54">
                  <c:v>32000</c:v>
                </c:pt>
                <c:pt idx="55">
                  <c:v>32500</c:v>
                </c:pt>
                <c:pt idx="56">
                  <c:v>33000</c:v>
                </c:pt>
                <c:pt idx="57">
                  <c:v>33500</c:v>
                </c:pt>
                <c:pt idx="58">
                  <c:v>34000</c:v>
                </c:pt>
                <c:pt idx="59">
                  <c:v>34500</c:v>
                </c:pt>
                <c:pt idx="60">
                  <c:v>35000</c:v>
                </c:pt>
                <c:pt idx="61">
                  <c:v>35500</c:v>
                </c:pt>
                <c:pt idx="62">
                  <c:v>36000</c:v>
                </c:pt>
                <c:pt idx="63">
                  <c:v>36500</c:v>
                </c:pt>
                <c:pt idx="64">
                  <c:v>37000</c:v>
                </c:pt>
                <c:pt idx="65">
                  <c:v>37500</c:v>
                </c:pt>
                <c:pt idx="66">
                  <c:v>38000</c:v>
                </c:pt>
                <c:pt idx="67">
                  <c:v>38500</c:v>
                </c:pt>
                <c:pt idx="68">
                  <c:v>39000</c:v>
                </c:pt>
                <c:pt idx="69">
                  <c:v>39500</c:v>
                </c:pt>
                <c:pt idx="70">
                  <c:v>40000</c:v>
                </c:pt>
                <c:pt idx="71">
                  <c:v>40500</c:v>
                </c:pt>
                <c:pt idx="72">
                  <c:v>41000</c:v>
                </c:pt>
                <c:pt idx="73">
                  <c:v>41500</c:v>
                </c:pt>
                <c:pt idx="74">
                  <c:v>42000</c:v>
                </c:pt>
                <c:pt idx="75">
                  <c:v>42500</c:v>
                </c:pt>
                <c:pt idx="76">
                  <c:v>43000</c:v>
                </c:pt>
                <c:pt idx="77">
                  <c:v>43500</c:v>
                </c:pt>
                <c:pt idx="78">
                  <c:v>44000</c:v>
                </c:pt>
                <c:pt idx="79">
                  <c:v>44500</c:v>
                </c:pt>
                <c:pt idx="80">
                  <c:v>45000</c:v>
                </c:pt>
                <c:pt idx="81">
                  <c:v>45500</c:v>
                </c:pt>
                <c:pt idx="82">
                  <c:v>46000</c:v>
                </c:pt>
                <c:pt idx="83">
                  <c:v>46500</c:v>
                </c:pt>
                <c:pt idx="84">
                  <c:v>47000</c:v>
                </c:pt>
                <c:pt idx="85">
                  <c:v>47500</c:v>
                </c:pt>
                <c:pt idx="86">
                  <c:v>48000</c:v>
                </c:pt>
                <c:pt idx="87">
                  <c:v>48500</c:v>
                </c:pt>
                <c:pt idx="88">
                  <c:v>49000</c:v>
                </c:pt>
                <c:pt idx="89">
                  <c:v>49500</c:v>
                </c:pt>
                <c:pt idx="90">
                  <c:v>50000</c:v>
                </c:pt>
                <c:pt idx="91">
                  <c:v>50500</c:v>
                </c:pt>
                <c:pt idx="92">
                  <c:v>51000</c:v>
                </c:pt>
                <c:pt idx="93">
                  <c:v>51500</c:v>
                </c:pt>
                <c:pt idx="94">
                  <c:v>52000</c:v>
                </c:pt>
                <c:pt idx="95">
                  <c:v>52500</c:v>
                </c:pt>
                <c:pt idx="96">
                  <c:v>53000</c:v>
                </c:pt>
                <c:pt idx="97">
                  <c:v>53500</c:v>
                </c:pt>
                <c:pt idx="98">
                  <c:v>54000</c:v>
                </c:pt>
                <c:pt idx="99">
                  <c:v>54500</c:v>
                </c:pt>
                <c:pt idx="100">
                  <c:v>55000</c:v>
                </c:pt>
                <c:pt idx="101">
                  <c:v>55500</c:v>
                </c:pt>
                <c:pt idx="102">
                  <c:v>56000</c:v>
                </c:pt>
                <c:pt idx="103">
                  <c:v>56500</c:v>
                </c:pt>
                <c:pt idx="104">
                  <c:v>57000</c:v>
                </c:pt>
                <c:pt idx="105">
                  <c:v>57500</c:v>
                </c:pt>
                <c:pt idx="106">
                  <c:v>58000</c:v>
                </c:pt>
                <c:pt idx="107">
                  <c:v>58500</c:v>
                </c:pt>
                <c:pt idx="108">
                  <c:v>59000</c:v>
                </c:pt>
                <c:pt idx="109">
                  <c:v>59500</c:v>
                </c:pt>
                <c:pt idx="110">
                  <c:v>60000</c:v>
                </c:pt>
                <c:pt idx="111">
                  <c:v>60500</c:v>
                </c:pt>
                <c:pt idx="112">
                  <c:v>61000</c:v>
                </c:pt>
                <c:pt idx="113">
                  <c:v>61500</c:v>
                </c:pt>
                <c:pt idx="114">
                  <c:v>62000</c:v>
                </c:pt>
                <c:pt idx="115">
                  <c:v>62500</c:v>
                </c:pt>
                <c:pt idx="116">
                  <c:v>63000</c:v>
                </c:pt>
                <c:pt idx="117">
                  <c:v>63500</c:v>
                </c:pt>
                <c:pt idx="118">
                  <c:v>64000</c:v>
                </c:pt>
                <c:pt idx="119">
                  <c:v>64500</c:v>
                </c:pt>
                <c:pt idx="120">
                  <c:v>65000</c:v>
                </c:pt>
                <c:pt idx="121">
                  <c:v>65500</c:v>
                </c:pt>
                <c:pt idx="122">
                  <c:v>66000</c:v>
                </c:pt>
                <c:pt idx="123">
                  <c:v>66500</c:v>
                </c:pt>
                <c:pt idx="124">
                  <c:v>67000</c:v>
                </c:pt>
                <c:pt idx="125">
                  <c:v>67500</c:v>
                </c:pt>
                <c:pt idx="126">
                  <c:v>68000</c:v>
                </c:pt>
                <c:pt idx="127">
                  <c:v>68500</c:v>
                </c:pt>
                <c:pt idx="128">
                  <c:v>69000</c:v>
                </c:pt>
                <c:pt idx="129">
                  <c:v>69500</c:v>
                </c:pt>
                <c:pt idx="130">
                  <c:v>70000</c:v>
                </c:pt>
                <c:pt idx="131">
                  <c:v>70500</c:v>
                </c:pt>
                <c:pt idx="132">
                  <c:v>71000</c:v>
                </c:pt>
                <c:pt idx="133">
                  <c:v>71500</c:v>
                </c:pt>
                <c:pt idx="134">
                  <c:v>72000</c:v>
                </c:pt>
                <c:pt idx="135">
                  <c:v>72500</c:v>
                </c:pt>
                <c:pt idx="136">
                  <c:v>73000</c:v>
                </c:pt>
                <c:pt idx="137">
                  <c:v>73500</c:v>
                </c:pt>
                <c:pt idx="138">
                  <c:v>74000</c:v>
                </c:pt>
                <c:pt idx="139">
                  <c:v>74500</c:v>
                </c:pt>
                <c:pt idx="140">
                  <c:v>75000</c:v>
                </c:pt>
                <c:pt idx="141">
                  <c:v>75500</c:v>
                </c:pt>
                <c:pt idx="142">
                  <c:v>76000</c:v>
                </c:pt>
                <c:pt idx="143">
                  <c:v>76500</c:v>
                </c:pt>
                <c:pt idx="144">
                  <c:v>77000</c:v>
                </c:pt>
                <c:pt idx="145">
                  <c:v>77500</c:v>
                </c:pt>
                <c:pt idx="146">
                  <c:v>78000</c:v>
                </c:pt>
                <c:pt idx="147">
                  <c:v>78500</c:v>
                </c:pt>
                <c:pt idx="148">
                  <c:v>79000</c:v>
                </c:pt>
                <c:pt idx="149">
                  <c:v>79500</c:v>
                </c:pt>
                <c:pt idx="150">
                  <c:v>80000</c:v>
                </c:pt>
              </c:numCache>
            </c:numRef>
          </c:cat>
          <c:val>
            <c:numRef>
              <c:f>Sheet4!$J$3:$J$153</c:f>
              <c:numCache>
                <c:formatCode>General</c:formatCode>
                <c:ptCount val="151"/>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59</c:v>
                </c:pt>
                <c:pt idx="20">
                  <c:v>58</c:v>
                </c:pt>
                <c:pt idx="21">
                  <c:v>57</c:v>
                </c:pt>
                <c:pt idx="22">
                  <c:v>56</c:v>
                </c:pt>
                <c:pt idx="23">
                  <c:v>55</c:v>
                </c:pt>
                <c:pt idx="24">
                  <c:v>54</c:v>
                </c:pt>
                <c:pt idx="25">
                  <c:v>53</c:v>
                </c:pt>
                <c:pt idx="26">
                  <c:v>52</c:v>
                </c:pt>
                <c:pt idx="27">
                  <c:v>51</c:v>
                </c:pt>
                <c:pt idx="28">
                  <c:v>50</c:v>
                </c:pt>
                <c:pt idx="29">
                  <c:v>49</c:v>
                </c:pt>
                <c:pt idx="30">
                  <c:v>48</c:v>
                </c:pt>
                <c:pt idx="31">
                  <c:v>47</c:v>
                </c:pt>
                <c:pt idx="32">
                  <c:v>47</c:v>
                </c:pt>
                <c:pt idx="33">
                  <c:v>46</c:v>
                </c:pt>
                <c:pt idx="34">
                  <c:v>45</c:v>
                </c:pt>
                <c:pt idx="35">
                  <c:v>44</c:v>
                </c:pt>
                <c:pt idx="36">
                  <c:v>44</c:v>
                </c:pt>
                <c:pt idx="37">
                  <c:v>43</c:v>
                </c:pt>
                <c:pt idx="38">
                  <c:v>42</c:v>
                </c:pt>
                <c:pt idx="39">
                  <c:v>42</c:v>
                </c:pt>
                <c:pt idx="40">
                  <c:v>41</c:v>
                </c:pt>
                <c:pt idx="41">
                  <c:v>40</c:v>
                </c:pt>
                <c:pt idx="42">
                  <c:v>40</c:v>
                </c:pt>
                <c:pt idx="43">
                  <c:v>39</c:v>
                </c:pt>
                <c:pt idx="44">
                  <c:v>39</c:v>
                </c:pt>
                <c:pt idx="45">
                  <c:v>38</c:v>
                </c:pt>
                <c:pt idx="46">
                  <c:v>38</c:v>
                </c:pt>
                <c:pt idx="47">
                  <c:v>37</c:v>
                </c:pt>
                <c:pt idx="48">
                  <c:v>37</c:v>
                </c:pt>
                <c:pt idx="49">
                  <c:v>36</c:v>
                </c:pt>
                <c:pt idx="50">
                  <c:v>36</c:v>
                </c:pt>
                <c:pt idx="51">
                  <c:v>35</c:v>
                </c:pt>
                <c:pt idx="52">
                  <c:v>35</c:v>
                </c:pt>
                <c:pt idx="53">
                  <c:v>34</c:v>
                </c:pt>
                <c:pt idx="54">
                  <c:v>34</c:v>
                </c:pt>
                <c:pt idx="55">
                  <c:v>34</c:v>
                </c:pt>
                <c:pt idx="56">
                  <c:v>33</c:v>
                </c:pt>
                <c:pt idx="57">
                  <c:v>33</c:v>
                </c:pt>
                <c:pt idx="58">
                  <c:v>32</c:v>
                </c:pt>
                <c:pt idx="59">
                  <c:v>32</c:v>
                </c:pt>
                <c:pt idx="60">
                  <c:v>32</c:v>
                </c:pt>
                <c:pt idx="61">
                  <c:v>31</c:v>
                </c:pt>
                <c:pt idx="62">
                  <c:v>31</c:v>
                </c:pt>
                <c:pt idx="63">
                  <c:v>31</c:v>
                </c:pt>
                <c:pt idx="64">
                  <c:v>30</c:v>
                </c:pt>
                <c:pt idx="65">
                  <c:v>30</c:v>
                </c:pt>
                <c:pt idx="66">
                  <c:v>30</c:v>
                </c:pt>
                <c:pt idx="67">
                  <c:v>29</c:v>
                </c:pt>
                <c:pt idx="68">
                  <c:v>29</c:v>
                </c:pt>
                <c:pt idx="69">
                  <c:v>29</c:v>
                </c:pt>
                <c:pt idx="70">
                  <c:v>28</c:v>
                </c:pt>
                <c:pt idx="71">
                  <c:v>28</c:v>
                </c:pt>
                <c:pt idx="72">
                  <c:v>28</c:v>
                </c:pt>
                <c:pt idx="73">
                  <c:v>28</c:v>
                </c:pt>
                <c:pt idx="74">
                  <c:v>27</c:v>
                </c:pt>
                <c:pt idx="75">
                  <c:v>27</c:v>
                </c:pt>
                <c:pt idx="76">
                  <c:v>27</c:v>
                </c:pt>
                <c:pt idx="77">
                  <c:v>27</c:v>
                </c:pt>
                <c:pt idx="78">
                  <c:v>26</c:v>
                </c:pt>
                <c:pt idx="79">
                  <c:v>26</c:v>
                </c:pt>
                <c:pt idx="80">
                  <c:v>26</c:v>
                </c:pt>
                <c:pt idx="81">
                  <c:v>26</c:v>
                </c:pt>
                <c:pt idx="82">
                  <c:v>25</c:v>
                </c:pt>
                <c:pt idx="83">
                  <c:v>25</c:v>
                </c:pt>
                <c:pt idx="84">
                  <c:v>25</c:v>
                </c:pt>
                <c:pt idx="85">
                  <c:v>25</c:v>
                </c:pt>
                <c:pt idx="86">
                  <c:v>25</c:v>
                </c:pt>
                <c:pt idx="87">
                  <c:v>24</c:v>
                </c:pt>
                <c:pt idx="88">
                  <c:v>24</c:v>
                </c:pt>
                <c:pt idx="89">
                  <c:v>24</c:v>
                </c:pt>
                <c:pt idx="90">
                  <c:v>24</c:v>
                </c:pt>
                <c:pt idx="91">
                  <c:v>24</c:v>
                </c:pt>
                <c:pt idx="92">
                  <c:v>23</c:v>
                </c:pt>
                <c:pt idx="93">
                  <c:v>23</c:v>
                </c:pt>
                <c:pt idx="94">
                  <c:v>23</c:v>
                </c:pt>
                <c:pt idx="95">
                  <c:v>23</c:v>
                </c:pt>
                <c:pt idx="96">
                  <c:v>23</c:v>
                </c:pt>
                <c:pt idx="97">
                  <c:v>22</c:v>
                </c:pt>
                <c:pt idx="98">
                  <c:v>22</c:v>
                </c:pt>
                <c:pt idx="99">
                  <c:v>22</c:v>
                </c:pt>
                <c:pt idx="100">
                  <c:v>22</c:v>
                </c:pt>
                <c:pt idx="101">
                  <c:v>22</c:v>
                </c:pt>
                <c:pt idx="102">
                  <c:v>22</c:v>
                </c:pt>
                <c:pt idx="103">
                  <c:v>21</c:v>
                </c:pt>
                <c:pt idx="104">
                  <c:v>21</c:v>
                </c:pt>
                <c:pt idx="105">
                  <c:v>21</c:v>
                </c:pt>
                <c:pt idx="106">
                  <c:v>21</c:v>
                </c:pt>
                <c:pt idx="107">
                  <c:v>21</c:v>
                </c:pt>
                <c:pt idx="108">
                  <c:v>21</c:v>
                </c:pt>
                <c:pt idx="109">
                  <c:v>21</c:v>
                </c:pt>
                <c:pt idx="110">
                  <c:v>20</c:v>
                </c:pt>
                <c:pt idx="111">
                  <c:v>20</c:v>
                </c:pt>
                <c:pt idx="112">
                  <c:v>20</c:v>
                </c:pt>
                <c:pt idx="113">
                  <c:v>20</c:v>
                </c:pt>
                <c:pt idx="114">
                  <c:v>20</c:v>
                </c:pt>
                <c:pt idx="115">
                  <c:v>20</c:v>
                </c:pt>
                <c:pt idx="116">
                  <c:v>20</c:v>
                </c:pt>
                <c:pt idx="117">
                  <c:v>20</c:v>
                </c:pt>
                <c:pt idx="118">
                  <c:v>19</c:v>
                </c:pt>
                <c:pt idx="119">
                  <c:v>19</c:v>
                </c:pt>
                <c:pt idx="120">
                  <c:v>19</c:v>
                </c:pt>
                <c:pt idx="121">
                  <c:v>19</c:v>
                </c:pt>
                <c:pt idx="122">
                  <c:v>19</c:v>
                </c:pt>
                <c:pt idx="123">
                  <c:v>19</c:v>
                </c:pt>
                <c:pt idx="124">
                  <c:v>19</c:v>
                </c:pt>
                <c:pt idx="125">
                  <c:v>19</c:v>
                </c:pt>
                <c:pt idx="126">
                  <c:v>18</c:v>
                </c:pt>
                <c:pt idx="127">
                  <c:v>18</c:v>
                </c:pt>
                <c:pt idx="128">
                  <c:v>18</c:v>
                </c:pt>
                <c:pt idx="129">
                  <c:v>18</c:v>
                </c:pt>
                <c:pt idx="130">
                  <c:v>18</c:v>
                </c:pt>
                <c:pt idx="131">
                  <c:v>18</c:v>
                </c:pt>
                <c:pt idx="132">
                  <c:v>18</c:v>
                </c:pt>
                <c:pt idx="133">
                  <c:v>18</c:v>
                </c:pt>
                <c:pt idx="134">
                  <c:v>18</c:v>
                </c:pt>
                <c:pt idx="135">
                  <c:v>17</c:v>
                </c:pt>
                <c:pt idx="136">
                  <c:v>17</c:v>
                </c:pt>
                <c:pt idx="137">
                  <c:v>17</c:v>
                </c:pt>
                <c:pt idx="138">
                  <c:v>17</c:v>
                </c:pt>
                <c:pt idx="139">
                  <c:v>17</c:v>
                </c:pt>
                <c:pt idx="140">
                  <c:v>17</c:v>
                </c:pt>
                <c:pt idx="141">
                  <c:v>17</c:v>
                </c:pt>
                <c:pt idx="142">
                  <c:v>17</c:v>
                </c:pt>
                <c:pt idx="143">
                  <c:v>17</c:v>
                </c:pt>
                <c:pt idx="144">
                  <c:v>17</c:v>
                </c:pt>
                <c:pt idx="145">
                  <c:v>17</c:v>
                </c:pt>
                <c:pt idx="146">
                  <c:v>16</c:v>
                </c:pt>
                <c:pt idx="147">
                  <c:v>16</c:v>
                </c:pt>
                <c:pt idx="148">
                  <c:v>16</c:v>
                </c:pt>
                <c:pt idx="149">
                  <c:v>16</c:v>
                </c:pt>
                <c:pt idx="150">
                  <c:v>16</c:v>
                </c:pt>
              </c:numCache>
            </c:numRef>
          </c:val>
          <c:smooth val="0"/>
          <c:extLst>
            <c:ext xmlns:c16="http://schemas.microsoft.com/office/drawing/2014/chart" uri="{C3380CC4-5D6E-409C-BE32-E72D297353CC}">
              <c16:uniqueId val="{00000001-22B3-4D6E-A2C6-87664B15704B}"/>
            </c:ext>
          </c:extLst>
        </c:ser>
        <c:dLbls>
          <c:showLegendKey val="0"/>
          <c:showVal val="0"/>
          <c:showCatName val="0"/>
          <c:showSerName val="0"/>
          <c:showPercent val="0"/>
          <c:showBubbleSize val="0"/>
        </c:dLbls>
        <c:smooth val="0"/>
        <c:axId val="791296512"/>
        <c:axId val="40438480"/>
      </c:lineChart>
      <c:catAx>
        <c:axId val="791296512"/>
        <c:scaling>
          <c:orientation val="minMax"/>
        </c:scaling>
        <c:delete val="0"/>
        <c:axPos val="b"/>
        <c:numFmt formatCode="&quot;$&quot;#,##0_);[Red]\(&quot;$&quot;#,##0\)" sourceLinked="1"/>
        <c:majorTickMark val="out"/>
        <c:minorTickMark val="none"/>
        <c:tickLblPos val="nextTo"/>
        <c:spPr>
          <a:noFill/>
          <a:ln w="12700" cap="flat" cmpd="sng" algn="ctr">
            <a:solidFill>
              <a:srgbClr val="000000">
                <a:lumMod val="100000"/>
              </a:srgbClr>
            </a:solidFill>
            <a:round/>
          </a:ln>
          <a:effectLst/>
        </c:spPr>
        <c:txPr>
          <a:bodyPr rot="-60000000" spcFirstLastPara="1" vertOverflow="ellipsis" vert="horz" wrap="square" anchor="ctr" anchorCtr="1"/>
          <a:lstStyle/>
          <a:p>
            <a:pPr>
              <a:defRPr sz="1200" b="0" i="0" u="none" strike="noStrike" kern="1200" baseline="0">
                <a:solidFill>
                  <a:srgbClr val="000000"/>
                </a:solidFill>
                <a:latin typeface="Lato"/>
                <a:ea typeface="Lato"/>
                <a:cs typeface="Lato"/>
              </a:defRPr>
            </a:pPr>
            <a:endParaRPr lang="en-US"/>
          </a:p>
        </c:txPr>
        <c:crossAx val="40438480"/>
        <c:crosses val="autoZero"/>
        <c:auto val="1"/>
        <c:lblAlgn val="ctr"/>
        <c:lblOffset val="100"/>
        <c:tickLblSkip val="10"/>
        <c:tickMarkSkip val="5"/>
        <c:noMultiLvlLbl val="0"/>
      </c:catAx>
      <c:valAx>
        <c:axId val="40438480"/>
        <c:scaling>
          <c:orientation val="minMax"/>
          <c:max val="60"/>
        </c:scaling>
        <c:delete val="0"/>
        <c:axPos val="l"/>
        <c:majorGridlines>
          <c:spPr>
            <a:ln w="12700" cap="flat" cmpd="sng" algn="ctr">
              <a:solidFill>
                <a:srgbClr val="DDDDDD"/>
              </a:solidFill>
              <a:prstDash val="solid"/>
              <a:round/>
            </a:ln>
            <a:effectLst/>
          </c:spPr>
        </c:majorGridlines>
        <c:numFmt formatCode="General" sourceLinked="1"/>
        <c:majorTickMark val="out"/>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1200" b="0" i="0" u="none" strike="noStrike" kern="1200" baseline="0">
                <a:solidFill>
                  <a:srgbClr val="000000"/>
                </a:solidFill>
                <a:latin typeface="Lato"/>
                <a:ea typeface="Lato"/>
                <a:cs typeface="Lato"/>
              </a:defRPr>
            </a:pPr>
            <a:endParaRPr lang="en-US"/>
          </a:p>
        </c:txPr>
        <c:crossAx val="791296512"/>
        <c:crosses val="autoZero"/>
        <c:crossBetween val="midCat"/>
      </c:valAx>
      <c:spPr>
        <a:noFill/>
        <a:ln>
          <a:noFill/>
        </a:ln>
        <a:effectLst/>
      </c:spPr>
    </c:plotArea>
    <c:legend>
      <c:legendPos val="b"/>
      <c:layout>
        <c:manualLayout>
          <c:xMode val="edge"/>
          <c:yMode val="edge"/>
          <c:x val="0.3382632730295404"/>
          <c:y val="0.19694510061242343"/>
          <c:w val="0.58476079385528446"/>
          <c:h val="7.3966644794400682E-2"/>
        </c:manualLayout>
      </c:layout>
      <c:overlay val="0"/>
      <c:spPr>
        <a:noFill/>
        <a:ln>
          <a:noFill/>
        </a:ln>
        <a:effectLst/>
      </c:spPr>
      <c:txPr>
        <a:bodyPr rot="0" spcFirstLastPara="1" vertOverflow="ellipsis" vert="horz" wrap="square" anchor="ctr" anchorCtr="1"/>
        <a:lstStyle/>
        <a:p>
          <a:pPr>
            <a:defRPr sz="1200" b="0" i="0" u="none" strike="noStrike" kern="1200" baseline="0">
              <a:solidFill>
                <a:srgbClr val="000000"/>
              </a:solidFill>
              <a:latin typeface="Lato"/>
              <a:ea typeface="Lato"/>
              <a:cs typeface="Lato"/>
            </a:defRPr>
          </a:pPr>
          <a:endParaRPr lang="en-US"/>
        </a:p>
      </c:txPr>
    </c:legend>
    <c:plotVisOnly val="1"/>
    <c:dispBlanksAs val="gap"/>
    <c:showDLblsOverMax val="0"/>
  </c:chart>
  <c:spPr>
    <a:solidFill>
      <a:schemeClr val="bg1"/>
    </a:solidFill>
    <a:ln w="25400" cap="flat" cmpd="sng" algn="ctr">
      <a:noFill/>
      <a:round/>
    </a:ln>
    <a:effectLst/>
  </c:spPr>
  <c:txPr>
    <a:bodyPr/>
    <a:lstStyle/>
    <a:p>
      <a:pPr>
        <a:defRPr>
          <a:latin typeface="Lato"/>
          <a:ea typeface="Lato"/>
          <a:cs typeface="Lato"/>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13</xdr:col>
      <xdr:colOff>285750</xdr:colOff>
      <xdr:row>17</xdr:row>
      <xdr:rowOff>171450</xdr:rowOff>
    </xdr:from>
    <xdr:to>
      <xdr:col>21</xdr:col>
      <xdr:colOff>28575</xdr:colOff>
      <xdr:row>33</xdr:row>
      <xdr:rowOff>142875</xdr:rowOff>
    </xdr:to>
    <xdr:graphicFrame macro="">
      <xdr:nvGraphicFramePr>
        <xdr:cNvPr id="4" name="Chart 3">
          <a:extLst>
            <a:ext uri="{FF2B5EF4-FFF2-40B4-BE49-F238E27FC236}">
              <a16:creationId xmlns:a16="http://schemas.microsoft.com/office/drawing/2014/main" id="{1111CA97-E88B-4C4D-8648-B743D78D9C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185058</xdr:colOff>
      <xdr:row>3</xdr:row>
      <xdr:rowOff>152400</xdr:rowOff>
    </xdr:from>
    <xdr:to>
      <xdr:col>23</xdr:col>
      <xdr:colOff>361950</xdr:colOff>
      <xdr:row>39</xdr:row>
      <xdr:rowOff>209550</xdr:rowOff>
    </xdr:to>
    <xdr:graphicFrame macro="">
      <xdr:nvGraphicFramePr>
        <xdr:cNvPr id="3" name="Chart 2">
          <a:extLst>
            <a:ext uri="{FF2B5EF4-FFF2-40B4-BE49-F238E27FC236}">
              <a16:creationId xmlns:a16="http://schemas.microsoft.com/office/drawing/2014/main" id="{1124FFF4-11BD-47A4-A3CB-B0D0616254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0.40708</cdr:x>
      <cdr:y>0.91343</cdr:y>
    </cdr:from>
    <cdr:to>
      <cdr:x>0.67889</cdr:x>
      <cdr:y>0.95214</cdr:y>
    </cdr:to>
    <cdr:sp macro="" textlink="">
      <cdr:nvSpPr>
        <cdr:cNvPr id="2" name="XAxisBox">
          <a:extLst xmlns:a="http://schemas.openxmlformats.org/drawingml/2006/main">
            <a:ext uri="{FF2B5EF4-FFF2-40B4-BE49-F238E27FC236}">
              <a16:creationId xmlns:a16="http://schemas.microsoft.com/office/drawing/2014/main" id="{3B7133A3-5D99-46F7-91B9-DD8E71EEE8D3}"/>
            </a:ext>
          </a:extLst>
        </cdr:cNvPr>
        <cdr:cNvSpPr txBox="1"/>
      </cdr:nvSpPr>
      <cdr:spPr>
        <a:xfrm xmlns:a="http://schemas.openxmlformats.org/drawingml/2006/main">
          <a:off x="4514444" y="8106297"/>
          <a:ext cx="3014325" cy="343535"/>
        </a:xfrm>
        <a:prstGeom xmlns:a="http://schemas.openxmlformats.org/drawingml/2006/main" prst="rect">
          <a:avLst/>
        </a:prstGeom>
      </cdr:spPr>
      <cdr:txBody>
        <a:bodyPr xmlns:a="http://schemas.openxmlformats.org/drawingml/2006/main" vertOverflow="clip" vert="horz" wrap="none" rtlCol="0" anchor="ctr">
          <a:spAutoFit/>
        </a:bodyPr>
        <a:lstStyle xmlns:a="http://schemas.openxmlformats.org/drawingml/2006/main"/>
        <a:p xmlns:a="http://schemas.openxmlformats.org/drawingml/2006/main">
          <a:pPr algn="ctr"/>
          <a:r>
            <a:rPr lang="en-US" sz="1200" i="1">
              <a:latin typeface="Lato" panose="020F0502020204030203" pitchFamily="34" charset="0"/>
            </a:rPr>
            <a:t>Starting</a:t>
          </a:r>
          <a:r>
            <a:rPr lang="en-US" sz="1200" i="1" baseline="0">
              <a:latin typeface="Lato" panose="020F0502020204030203" pitchFamily="34" charset="0"/>
            </a:rPr>
            <a:t> </a:t>
          </a:r>
          <a:r>
            <a:rPr lang="en-US" sz="1200" i="1">
              <a:latin typeface="Lato" panose="020F0502020204030203" pitchFamily="34" charset="0"/>
            </a:rPr>
            <a:t>Adjusted Gross Income</a:t>
          </a:r>
        </a:p>
      </cdr:txBody>
    </cdr:sp>
  </cdr:relSizeAnchor>
  <cdr:relSizeAnchor xmlns:cdr="http://schemas.openxmlformats.org/drawingml/2006/chartDrawing">
    <cdr:from>
      <cdr:x>0.73333</cdr:x>
      <cdr:y>0.94444</cdr:y>
    </cdr:from>
    <cdr:to>
      <cdr:x>1</cdr:x>
      <cdr:y>1</cdr:y>
    </cdr:to>
    <cdr:sp macro="" textlink="">
      <cdr:nvSpPr>
        <cdr:cNvPr id="3" name="LogoBox">
          <a:extLst xmlns:a="http://schemas.openxmlformats.org/drawingml/2006/main">
            <a:ext uri="{FF2B5EF4-FFF2-40B4-BE49-F238E27FC236}">
              <a16:creationId xmlns:a16="http://schemas.microsoft.com/office/drawing/2014/main" id="{ED8C5D75-5BEF-4291-A2FB-289FA6A552F0}"/>
            </a:ext>
          </a:extLst>
        </cdr:cNvPr>
        <cdr:cNvSpPr txBox="1"/>
      </cdr:nvSpPr>
      <cdr:spPr>
        <a:xfrm xmlns:a="http://schemas.openxmlformats.org/drawingml/2006/main">
          <a:off x="5765800" y="3479800"/>
          <a:ext cx="1524000" cy="1905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r"/>
          <a:r>
            <a:rPr lang="en-US" sz="800">
              <a:solidFill>
                <a:srgbClr val="1696D2"/>
              </a:solidFill>
              <a:latin typeface="Lato Black" panose="020F0A02020204030203" pitchFamily="34" charset="0"/>
            </a:rPr>
            <a:t>U R B A N </a:t>
          </a:r>
          <a:r>
            <a:rPr lang="en-US" sz="800">
              <a:latin typeface="Lato Black" panose="020F0A02020204030203" pitchFamily="34" charset="0"/>
            </a:rPr>
            <a:t> I N S T I T U T E</a:t>
          </a:r>
        </a:p>
      </cdr:txBody>
    </cdr:sp>
  </cdr:relSizeAnchor>
  <cdr:relSizeAnchor xmlns:cdr="http://schemas.openxmlformats.org/drawingml/2006/chartDrawing">
    <cdr:from>
      <cdr:x>0</cdr:x>
      <cdr:y>0.87037</cdr:y>
    </cdr:from>
    <cdr:to>
      <cdr:x>0.7435</cdr:x>
      <cdr:y>1</cdr:y>
    </cdr:to>
    <cdr:sp macro="" textlink="">
      <cdr:nvSpPr>
        <cdr:cNvPr id="4" name="SourceBox">
          <a:extLst xmlns:a="http://schemas.openxmlformats.org/drawingml/2006/main">
            <a:ext uri="{FF2B5EF4-FFF2-40B4-BE49-F238E27FC236}">
              <a16:creationId xmlns:a16="http://schemas.microsoft.com/office/drawing/2014/main" id="{F6DFDDA3-E101-4B42-8FC1-1940F7A577D3}"/>
            </a:ext>
          </a:extLst>
        </cdr:cNvPr>
        <cdr:cNvSpPr txBox="1"/>
      </cdr:nvSpPr>
      <cdr:spPr>
        <a:xfrm xmlns:a="http://schemas.openxmlformats.org/drawingml/2006/main">
          <a:off x="0" y="6229551"/>
          <a:ext cx="5876923" cy="927805"/>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r>
            <a:rPr lang="en-US" sz="1100" b="1">
              <a:latin typeface="Lato" panose="020F0502020204030203" pitchFamily="34" charset="0"/>
            </a:rPr>
            <a:t>Source</a:t>
          </a:r>
          <a:r>
            <a:rPr lang="en-US" sz="1100" b="0">
              <a:latin typeface="Lato" panose="020F0502020204030203" pitchFamily="34" charset="0"/>
            </a:rPr>
            <a:t>: </a:t>
          </a:r>
          <a:r>
            <a:rPr lang="en-US" sz="1100" b="0">
              <a:effectLst/>
              <a:latin typeface="+mn-lt"/>
              <a:ea typeface="+mn-ea"/>
              <a:cs typeface="+mn-cs"/>
            </a:rPr>
            <a:t>Urban Institute</a:t>
          </a:r>
          <a:r>
            <a:rPr lang="en-US" sz="1100" b="0" baseline="0">
              <a:effectLst/>
              <a:latin typeface="+mn-lt"/>
              <a:ea typeface="+mn-ea"/>
              <a:cs typeface="+mn-cs"/>
            </a:rPr>
            <a:t> analysis of proposed income-based repayment plan  in the  PROSPER Act</a:t>
          </a:r>
          <a:r>
            <a:rPr lang="en-US" sz="1100" b="0">
              <a:effectLst/>
              <a:latin typeface="+mn-lt"/>
              <a:ea typeface="+mn-ea"/>
              <a:cs typeface="+mn-cs"/>
            </a:rPr>
            <a:t>.</a:t>
          </a:r>
          <a:endParaRPr lang="en-US">
            <a:effectLst/>
          </a:endParaRPr>
        </a:p>
        <a:p xmlns:a="http://schemas.openxmlformats.org/drawingml/2006/main">
          <a:r>
            <a:rPr lang="en-US" sz="1100" b="1">
              <a:latin typeface="Lato" panose="020F0502020204030203" pitchFamily="34" charset="0"/>
            </a:rPr>
            <a:t>Note:</a:t>
          </a:r>
          <a:r>
            <a:rPr lang="en-US" sz="1100" b="0">
              <a:latin typeface="Lato" panose="020F0502020204030203" pitchFamily="34" charset="0"/>
            </a:rPr>
            <a:t> </a:t>
          </a:r>
          <a:r>
            <a:rPr lang="en-US" sz="1100" b="0">
              <a:effectLst/>
              <a:latin typeface="+mn-lt"/>
              <a:ea typeface="+mn-ea"/>
              <a:cs typeface="+mn-cs"/>
            </a:rPr>
            <a:t>Loan</a:t>
          </a:r>
          <a:r>
            <a:rPr lang="en-US" sz="1100" b="0" baseline="0">
              <a:effectLst/>
              <a:latin typeface="+mn-lt"/>
              <a:ea typeface="+mn-ea"/>
              <a:cs typeface="+mn-cs"/>
            </a:rPr>
            <a:t> is estimated using a 4.45 percent interest rate with no fees. </a:t>
          </a:r>
          <a:endParaRPr lang="en-US" sz="1100" b="0">
            <a:latin typeface="Lato" panose="020F0502020204030203" pitchFamily="34" charset="0"/>
          </a:endParaRPr>
        </a:p>
      </cdr:txBody>
    </cdr:sp>
  </cdr:relSizeAnchor>
  <cdr:relSizeAnchor xmlns:cdr="http://schemas.openxmlformats.org/drawingml/2006/chartDrawing">
    <cdr:from>
      <cdr:x>0</cdr:x>
      <cdr:y>0.01331</cdr:y>
    </cdr:from>
    <cdr:to>
      <cdr:x>0.97124</cdr:x>
      <cdr:y>0.06844</cdr:y>
    </cdr:to>
    <cdr:sp macro="" textlink="">
      <cdr:nvSpPr>
        <cdr:cNvPr id="5" name="TitleBox">
          <a:extLst xmlns:a="http://schemas.openxmlformats.org/drawingml/2006/main">
            <a:ext uri="{FF2B5EF4-FFF2-40B4-BE49-F238E27FC236}">
              <a16:creationId xmlns:a16="http://schemas.microsoft.com/office/drawing/2014/main" id="{608E49D4-5544-4B19-A9FB-2B7ABA7C37C6}"/>
            </a:ext>
          </a:extLst>
        </cdr:cNvPr>
        <cdr:cNvSpPr txBox="1"/>
      </cdr:nvSpPr>
      <cdr:spPr>
        <a:xfrm xmlns:a="http://schemas.openxmlformats.org/drawingml/2006/main">
          <a:off x="0" y="95250"/>
          <a:ext cx="7677019" cy="394607"/>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1800" b="0">
              <a:latin typeface="Lato" panose="020F0502020204030203" pitchFamily="34" charset="0"/>
            </a:rPr>
            <a:t>Figure 1: Estimated Repayment</a:t>
          </a:r>
          <a:r>
            <a:rPr lang="en-US" sz="1800" b="0" baseline="0">
              <a:latin typeface="Lato" panose="020F0502020204030203" pitchFamily="34" charset="0"/>
            </a:rPr>
            <a:t> on a $20,000 Student Loan</a:t>
          </a:r>
          <a:endParaRPr lang="en-US" sz="1800" b="0">
            <a:latin typeface="Lato" panose="020F0502020204030203" pitchFamily="34" charset="0"/>
          </a:endParaRPr>
        </a:p>
      </cdr:txBody>
    </cdr:sp>
  </cdr:relSizeAnchor>
  <cdr:relSizeAnchor xmlns:cdr="http://schemas.openxmlformats.org/drawingml/2006/chartDrawing">
    <cdr:from>
      <cdr:x>0.00172</cdr:x>
      <cdr:y>0.06408</cdr:y>
    </cdr:from>
    <cdr:to>
      <cdr:x>0.55728</cdr:x>
      <cdr:y>0.13815</cdr:y>
    </cdr:to>
    <cdr:sp macro="" textlink="">
      <cdr:nvSpPr>
        <cdr:cNvPr id="6" name="SubTitleBox">
          <a:extLst xmlns:a="http://schemas.openxmlformats.org/drawingml/2006/main">
            <a:ext uri="{FF2B5EF4-FFF2-40B4-BE49-F238E27FC236}">
              <a16:creationId xmlns:a16="http://schemas.microsoft.com/office/drawing/2014/main" id="{2175BFC3-A817-43C4-B9B2-60D1638121F7}"/>
            </a:ext>
          </a:extLst>
        </cdr:cNvPr>
        <cdr:cNvSpPr txBox="1"/>
      </cdr:nvSpPr>
      <cdr:spPr>
        <a:xfrm xmlns:a="http://schemas.openxmlformats.org/drawingml/2006/main">
          <a:off x="13607" y="458610"/>
          <a:ext cx="4391327" cy="530175"/>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1400" b="0">
              <a:latin typeface="Lato" panose="020F0502020204030203" pitchFamily="34" charset="0"/>
            </a:rPr>
            <a:t>By Starting Adjusted</a:t>
          </a:r>
          <a:r>
            <a:rPr lang="en-US" sz="1400" b="0" baseline="0">
              <a:latin typeface="Lato" panose="020F0502020204030203" pitchFamily="34" charset="0"/>
            </a:rPr>
            <a:t> Gross Income, Over Up To 40 Years</a:t>
          </a:r>
          <a:endParaRPr lang="en-US" sz="1400" b="0">
            <a:latin typeface="Lato" panose="020F0502020204030203" pitchFamily="34" charset="0"/>
          </a:endParaRPr>
        </a:p>
      </cdr:txBody>
    </cdr:sp>
  </cdr:relSizeAnchor>
  <cdr:relSizeAnchor xmlns:cdr="http://schemas.openxmlformats.org/drawingml/2006/chartDrawing">
    <cdr:from>
      <cdr:x>0.00172</cdr:x>
      <cdr:y>0.11346</cdr:y>
    </cdr:from>
    <cdr:to>
      <cdr:x>0.55728</cdr:x>
      <cdr:y>0.18013</cdr:y>
    </cdr:to>
    <cdr:sp macro="" textlink="">
      <cdr:nvSpPr>
        <cdr:cNvPr id="7" name="YAxisLabelBox">
          <a:extLst xmlns:a="http://schemas.openxmlformats.org/drawingml/2006/main">
            <a:ext uri="{FF2B5EF4-FFF2-40B4-BE49-F238E27FC236}">
              <a16:creationId xmlns:a16="http://schemas.microsoft.com/office/drawing/2014/main" id="{CEBC09C1-2A6E-4E14-B2EF-65DCBEC3B407}"/>
            </a:ext>
          </a:extLst>
        </cdr:cNvPr>
        <cdr:cNvSpPr txBox="1"/>
      </cdr:nvSpPr>
      <cdr:spPr>
        <a:xfrm xmlns:a="http://schemas.openxmlformats.org/drawingml/2006/main">
          <a:off x="13607" y="812094"/>
          <a:ext cx="4391327" cy="477158"/>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1200" b="0">
              <a:latin typeface="Lato Italic" panose="020F0502020204030203" pitchFamily="34" charset="0"/>
            </a:rPr>
            <a:t>Amount Repaid,</a:t>
          </a:r>
          <a:r>
            <a:rPr lang="en-US" sz="1200" b="0" baseline="0">
              <a:latin typeface="Lato Italic" panose="020F0502020204030203" pitchFamily="34" charset="0"/>
            </a:rPr>
            <a:t> in Net Present Value</a:t>
          </a:r>
          <a:endParaRPr lang="en-US" sz="1200" b="0">
            <a:latin typeface="Lato Italic" panose="020F0502020204030203"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457200</xdr:colOff>
      <xdr:row>3</xdr:row>
      <xdr:rowOff>85724</xdr:rowOff>
    </xdr:from>
    <xdr:to>
      <xdr:col>12</xdr:col>
      <xdr:colOff>9525</xdr:colOff>
      <xdr:row>26</xdr:row>
      <xdr:rowOff>0</xdr:rowOff>
    </xdr:to>
    <xdr:graphicFrame macro="">
      <xdr:nvGraphicFramePr>
        <xdr:cNvPr id="3" name="Chart 2">
          <a:extLst>
            <a:ext uri="{FF2B5EF4-FFF2-40B4-BE49-F238E27FC236}">
              <a16:creationId xmlns:a16="http://schemas.microsoft.com/office/drawing/2014/main" id="{D42D4A50-AB57-43E9-9F81-BBE0F861BF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20</xdr:col>
      <xdr:colOff>107156</xdr:colOff>
      <xdr:row>35</xdr:row>
      <xdr:rowOff>130968</xdr:rowOff>
    </xdr:from>
    <xdr:to>
      <xdr:col>24</xdr:col>
      <xdr:colOff>452437</xdr:colOff>
      <xdr:row>46</xdr:row>
      <xdr:rowOff>107155</xdr:rowOff>
    </xdr:to>
    <xdr:graphicFrame macro="">
      <xdr:nvGraphicFramePr>
        <xdr:cNvPr id="4" name="Chart 3">
          <a:extLst>
            <a:ext uri="{FF2B5EF4-FFF2-40B4-BE49-F238E27FC236}">
              <a16:creationId xmlns:a16="http://schemas.microsoft.com/office/drawing/2014/main" id="{C02ACDF2-22E4-42B9-AC1B-857827A977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134936</xdr:colOff>
      <xdr:row>4</xdr:row>
      <xdr:rowOff>142875</xdr:rowOff>
    </xdr:from>
    <xdr:to>
      <xdr:col>22</xdr:col>
      <xdr:colOff>11906</xdr:colOff>
      <xdr:row>40</xdr:row>
      <xdr:rowOff>142875</xdr:rowOff>
    </xdr:to>
    <xdr:graphicFrame macro="">
      <xdr:nvGraphicFramePr>
        <xdr:cNvPr id="5" name="Chart 4">
          <a:extLst>
            <a:ext uri="{FF2B5EF4-FFF2-40B4-BE49-F238E27FC236}">
              <a16:creationId xmlns:a16="http://schemas.microsoft.com/office/drawing/2014/main" id="{286A1E19-A92C-46E9-B0FD-804D6977A5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0.35206</cdr:x>
      <cdr:y>0.84799</cdr:y>
    </cdr:from>
    <cdr:to>
      <cdr:x>0.63986</cdr:x>
      <cdr:y>0.88968</cdr:y>
    </cdr:to>
    <cdr:sp macro="" textlink="">
      <cdr:nvSpPr>
        <cdr:cNvPr id="2" name="XAxisBox">
          <a:extLst xmlns:a="http://schemas.openxmlformats.org/drawingml/2006/main">
            <a:ext uri="{FF2B5EF4-FFF2-40B4-BE49-F238E27FC236}">
              <a16:creationId xmlns:a16="http://schemas.microsoft.com/office/drawing/2014/main" id="{7A3DD0B0-DEDA-4B4C-AA78-226339218000}"/>
            </a:ext>
          </a:extLst>
        </cdr:cNvPr>
        <cdr:cNvSpPr txBox="1"/>
      </cdr:nvSpPr>
      <cdr:spPr>
        <a:xfrm xmlns:a="http://schemas.openxmlformats.org/drawingml/2006/main">
          <a:off x="2600268" y="6300123"/>
          <a:ext cx="2125629" cy="309763"/>
        </a:xfrm>
        <a:prstGeom xmlns:a="http://schemas.openxmlformats.org/drawingml/2006/main" prst="rect">
          <a:avLst/>
        </a:prstGeom>
      </cdr:spPr>
      <cdr:txBody>
        <a:bodyPr xmlns:a="http://schemas.openxmlformats.org/drawingml/2006/main" vertOverflow="clip" vert="horz" wrap="none" rtlCol="0" anchor="ctr">
          <a:spAutoFit/>
        </a:bodyPr>
        <a:lstStyle xmlns:a="http://schemas.openxmlformats.org/drawingml/2006/main"/>
        <a:p xmlns:a="http://schemas.openxmlformats.org/drawingml/2006/main">
          <a:pPr algn="ctr"/>
          <a:r>
            <a:rPr lang="en-US" sz="1200" i="1">
              <a:latin typeface="Lato" panose="020F0502020204030203" pitchFamily="34" charset="0"/>
            </a:rPr>
            <a:t>Starting Adjusted</a:t>
          </a:r>
          <a:r>
            <a:rPr lang="en-US" sz="1200" i="1" baseline="0">
              <a:latin typeface="Lato" panose="020F0502020204030203" pitchFamily="34" charset="0"/>
            </a:rPr>
            <a:t> Gross Income</a:t>
          </a:r>
          <a:endParaRPr lang="en-US" sz="1200" i="1">
            <a:latin typeface="Lato" panose="020F0502020204030203" pitchFamily="34" charset="0"/>
          </a:endParaRPr>
        </a:p>
      </cdr:txBody>
    </cdr:sp>
  </cdr:relSizeAnchor>
  <cdr:relSizeAnchor xmlns:cdr="http://schemas.openxmlformats.org/drawingml/2006/chartDrawing">
    <cdr:from>
      <cdr:x>0.73333</cdr:x>
      <cdr:y>0.94444</cdr:y>
    </cdr:from>
    <cdr:to>
      <cdr:x>1</cdr:x>
      <cdr:y>1</cdr:y>
    </cdr:to>
    <cdr:sp macro="" textlink="">
      <cdr:nvSpPr>
        <cdr:cNvPr id="3" name="LogoBox">
          <a:extLst xmlns:a="http://schemas.openxmlformats.org/drawingml/2006/main">
            <a:ext uri="{FF2B5EF4-FFF2-40B4-BE49-F238E27FC236}">
              <a16:creationId xmlns:a16="http://schemas.microsoft.com/office/drawing/2014/main" id="{A0392A76-29B7-4D5D-A238-E0057E397839}"/>
            </a:ext>
          </a:extLst>
        </cdr:cNvPr>
        <cdr:cNvSpPr txBox="1"/>
      </cdr:nvSpPr>
      <cdr:spPr>
        <a:xfrm xmlns:a="http://schemas.openxmlformats.org/drawingml/2006/main">
          <a:off x="5765800" y="3479800"/>
          <a:ext cx="1524000" cy="1905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r"/>
          <a:r>
            <a:rPr lang="en-US" sz="800">
              <a:solidFill>
                <a:srgbClr val="1696D2"/>
              </a:solidFill>
              <a:latin typeface="Lato Black" panose="020F0A02020204030203" pitchFamily="34" charset="0"/>
            </a:rPr>
            <a:t>U R B A N </a:t>
          </a:r>
          <a:r>
            <a:rPr lang="en-US" sz="800">
              <a:latin typeface="Lato Black" panose="020F0A02020204030203" pitchFamily="34" charset="0"/>
            </a:rPr>
            <a:t> I N S T I T U T E</a:t>
          </a:r>
        </a:p>
      </cdr:txBody>
    </cdr:sp>
  </cdr:relSizeAnchor>
  <cdr:relSizeAnchor xmlns:cdr="http://schemas.openxmlformats.org/drawingml/2006/chartDrawing">
    <cdr:from>
      <cdr:x>0</cdr:x>
      <cdr:y>0.87037</cdr:y>
    </cdr:from>
    <cdr:to>
      <cdr:x>0.82775</cdr:x>
      <cdr:y>1</cdr:y>
    </cdr:to>
    <cdr:sp macro="" textlink="">
      <cdr:nvSpPr>
        <cdr:cNvPr id="4" name="SourceBox">
          <a:extLst xmlns:a="http://schemas.openxmlformats.org/drawingml/2006/main">
            <a:ext uri="{FF2B5EF4-FFF2-40B4-BE49-F238E27FC236}">
              <a16:creationId xmlns:a16="http://schemas.microsoft.com/office/drawing/2014/main" id="{C1EDB797-3BF3-473E-8F24-529977FB40BB}"/>
            </a:ext>
          </a:extLst>
        </cdr:cNvPr>
        <cdr:cNvSpPr txBox="1"/>
      </cdr:nvSpPr>
      <cdr:spPr>
        <a:xfrm xmlns:a="http://schemas.openxmlformats.org/drawingml/2006/main">
          <a:off x="0" y="5782468"/>
          <a:ext cx="6179344" cy="861219"/>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r>
            <a:rPr lang="en-US" sz="1100" b="1">
              <a:latin typeface="Lato" panose="020F0502020204030203" pitchFamily="34" charset="0"/>
            </a:rPr>
            <a:t>Source</a:t>
          </a:r>
          <a:r>
            <a:rPr lang="en-US" sz="1100" b="0">
              <a:latin typeface="Lato" panose="020F0502020204030203" pitchFamily="34" charset="0"/>
            </a:rPr>
            <a:t>: Urban Institute</a:t>
          </a:r>
          <a:r>
            <a:rPr lang="en-US" sz="1100" b="0" baseline="0">
              <a:latin typeface="Lato" panose="020F0502020204030203" pitchFamily="34" charset="0"/>
            </a:rPr>
            <a:t> analysis of proposed income-based repayment plan  in the  PROSPER Act</a:t>
          </a:r>
          <a:r>
            <a:rPr lang="en-US" sz="1100" b="0">
              <a:latin typeface="Lato" panose="020F0502020204030203" pitchFamily="34" charset="0"/>
            </a:rPr>
            <a:t>.</a:t>
          </a:r>
        </a:p>
        <a:p xmlns:a="http://schemas.openxmlformats.org/drawingml/2006/main">
          <a:r>
            <a:rPr lang="en-US" sz="1100" b="1">
              <a:latin typeface="Lato" panose="020F0502020204030203" pitchFamily="34" charset="0"/>
            </a:rPr>
            <a:t>Note:</a:t>
          </a:r>
          <a:r>
            <a:rPr lang="en-US" sz="1100" b="0">
              <a:latin typeface="Lato" panose="020F0502020204030203" pitchFamily="34" charset="0"/>
            </a:rPr>
            <a:t> Loan</a:t>
          </a:r>
          <a:r>
            <a:rPr lang="en-US" sz="1100" b="0" baseline="0">
              <a:latin typeface="Lato" panose="020F0502020204030203" pitchFamily="34" charset="0"/>
            </a:rPr>
            <a:t> is estimated using a 4.45 percent interest rate with no fees. Year is the first year when the borrower would have no payments.</a:t>
          </a:r>
          <a:endParaRPr lang="en-US" sz="1100" b="0">
            <a:latin typeface="Lato" panose="020F0502020204030203" pitchFamily="34" charset="0"/>
          </a:endParaRPr>
        </a:p>
      </cdr:txBody>
    </cdr:sp>
  </cdr:relSizeAnchor>
  <cdr:relSizeAnchor xmlns:cdr="http://schemas.openxmlformats.org/drawingml/2006/chartDrawing">
    <cdr:from>
      <cdr:x>0</cdr:x>
      <cdr:y>0</cdr:y>
    </cdr:from>
    <cdr:to>
      <cdr:x>0.95853</cdr:x>
      <cdr:y>0.12186</cdr:y>
    </cdr:to>
    <cdr:sp macro="" textlink="">
      <cdr:nvSpPr>
        <cdr:cNvPr id="5" name="TitleBox">
          <a:extLst xmlns:a="http://schemas.openxmlformats.org/drawingml/2006/main">
            <a:ext uri="{FF2B5EF4-FFF2-40B4-BE49-F238E27FC236}">
              <a16:creationId xmlns:a16="http://schemas.microsoft.com/office/drawing/2014/main" id="{8E515F6A-B961-4AF1-9C14-C279A8F5A2F6}"/>
            </a:ext>
          </a:extLst>
        </cdr:cNvPr>
        <cdr:cNvSpPr txBox="1"/>
      </cdr:nvSpPr>
      <cdr:spPr>
        <a:xfrm xmlns:a="http://schemas.openxmlformats.org/drawingml/2006/main">
          <a:off x="0" y="0"/>
          <a:ext cx="7155658" cy="809624"/>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1800" b="0">
              <a:latin typeface="Lato" panose="020F0502020204030203" pitchFamily="34" charset="0"/>
            </a:rPr>
            <a:t>Figure 2: Estimated Years Needed To Repay Student Loan Under</a:t>
          </a:r>
          <a:r>
            <a:rPr lang="en-US" sz="1800" b="0" baseline="0">
              <a:latin typeface="Lato" panose="020F0502020204030203" pitchFamily="34" charset="0"/>
            </a:rPr>
            <a:t> </a:t>
          </a:r>
        </a:p>
        <a:p xmlns:a="http://schemas.openxmlformats.org/drawingml/2006/main">
          <a:r>
            <a:rPr lang="en-US" sz="1800" b="0" baseline="0">
              <a:latin typeface="Lato" panose="020F0502020204030203" pitchFamily="34" charset="0"/>
            </a:rPr>
            <a:t>Proposed HEA Income-Contingent Plan</a:t>
          </a:r>
          <a:endParaRPr lang="en-US" sz="1800" b="0">
            <a:latin typeface="Lato" panose="020F0502020204030203" pitchFamily="34" charset="0"/>
          </a:endParaRPr>
        </a:p>
      </cdr:txBody>
    </cdr:sp>
  </cdr:relSizeAnchor>
  <cdr:relSizeAnchor xmlns:cdr="http://schemas.openxmlformats.org/drawingml/2006/chartDrawing">
    <cdr:from>
      <cdr:x>0</cdr:x>
      <cdr:y>0.08451</cdr:y>
    </cdr:from>
    <cdr:to>
      <cdr:x>0.55556</cdr:x>
      <cdr:y>0.13469</cdr:y>
    </cdr:to>
    <cdr:sp macro="" textlink="">
      <cdr:nvSpPr>
        <cdr:cNvPr id="6" name="SubTitleBox">
          <a:extLst xmlns:a="http://schemas.openxmlformats.org/drawingml/2006/main">
            <a:ext uri="{FF2B5EF4-FFF2-40B4-BE49-F238E27FC236}">
              <a16:creationId xmlns:a16="http://schemas.microsoft.com/office/drawing/2014/main" id="{0AB75A7E-B521-43F4-8313-8C80662549F0}"/>
            </a:ext>
          </a:extLst>
        </cdr:cNvPr>
        <cdr:cNvSpPr txBox="1"/>
      </cdr:nvSpPr>
      <cdr:spPr>
        <a:xfrm xmlns:a="http://schemas.openxmlformats.org/drawingml/2006/main">
          <a:off x="0" y="572503"/>
          <a:ext cx="4103247" cy="339947"/>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1400" b="0">
              <a:latin typeface="Lato" panose="020F0502020204030203" pitchFamily="34" charset="0"/>
            </a:rPr>
            <a:t>By Income,</a:t>
          </a:r>
          <a:r>
            <a:rPr lang="en-US" sz="1400" b="0" baseline="0">
              <a:latin typeface="Lato" panose="020F0502020204030203" pitchFamily="34" charset="0"/>
            </a:rPr>
            <a:t> B</a:t>
          </a:r>
          <a:r>
            <a:rPr lang="en-US" sz="1400" b="0">
              <a:latin typeface="Lato" panose="020F0502020204030203" pitchFamily="34" charset="0"/>
            </a:rPr>
            <a:t>ased on Starting</a:t>
          </a:r>
          <a:r>
            <a:rPr lang="en-US" sz="1400" b="0" baseline="0">
              <a:latin typeface="Lato" panose="020F0502020204030203" pitchFamily="34" charset="0"/>
            </a:rPr>
            <a:t> Loan Amount</a:t>
          </a:r>
          <a:endParaRPr lang="en-US" sz="1400" b="0">
            <a:latin typeface="Lato" panose="020F0502020204030203" pitchFamily="34" charset="0"/>
          </a:endParaRPr>
        </a:p>
      </cdr:txBody>
    </cdr:sp>
  </cdr:relSizeAnchor>
  <cdr:relSizeAnchor xmlns:cdr="http://schemas.openxmlformats.org/drawingml/2006/chartDrawing">
    <cdr:from>
      <cdr:x>0.00159</cdr:x>
      <cdr:y>0.13709</cdr:y>
    </cdr:from>
    <cdr:to>
      <cdr:x>0.55715</cdr:x>
      <cdr:y>0.24136</cdr:y>
    </cdr:to>
    <cdr:sp macro="" textlink="">
      <cdr:nvSpPr>
        <cdr:cNvPr id="7" name="YAxisLabelBox">
          <a:extLst xmlns:a="http://schemas.openxmlformats.org/drawingml/2006/main">
            <a:ext uri="{FF2B5EF4-FFF2-40B4-BE49-F238E27FC236}">
              <a16:creationId xmlns:a16="http://schemas.microsoft.com/office/drawing/2014/main" id="{279CD66F-D351-452F-8925-E00E39D27006}"/>
            </a:ext>
          </a:extLst>
        </cdr:cNvPr>
        <cdr:cNvSpPr txBox="1"/>
      </cdr:nvSpPr>
      <cdr:spPr>
        <a:xfrm xmlns:a="http://schemas.openxmlformats.org/drawingml/2006/main">
          <a:off x="11779" y="928767"/>
          <a:ext cx="4103247" cy="706358"/>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1200" b="0">
              <a:latin typeface="Lato Italic" panose="020F0502020204030203" pitchFamily="34" charset="0"/>
            </a:rPr>
            <a:t>Years of repayment</a:t>
          </a:r>
        </a:p>
      </cdr:txBody>
    </cdr:sp>
  </cdr:relSizeAnchor>
</c:userShapes>
</file>

<file path=xl/theme/theme1.xml><?xml version="1.0" encoding="utf-8"?>
<a:theme xmlns:a="http://schemas.openxmlformats.org/drawingml/2006/main" name="UrbanInstitute">
  <a:themeElements>
    <a:clrScheme name="Custom 6">
      <a:dk1>
        <a:sysClr val="windowText" lastClr="000000"/>
      </a:dk1>
      <a:lt1>
        <a:sysClr val="window" lastClr="FFFFFF"/>
      </a:lt1>
      <a:dk2>
        <a:srgbClr val="0096D2"/>
      </a:dk2>
      <a:lt2>
        <a:srgbClr val="CECFCE"/>
      </a:lt2>
      <a:accent1>
        <a:srgbClr val="0096D2"/>
      </a:accent1>
      <a:accent2>
        <a:srgbClr val="9FC7DE"/>
      </a:accent2>
      <a:accent3>
        <a:srgbClr val="153D66"/>
      </a:accent3>
      <a:accent4>
        <a:srgbClr val="828381"/>
      </a:accent4>
      <a:accent5>
        <a:srgbClr val="B1B3B1"/>
      </a:accent5>
      <a:accent6>
        <a:srgbClr val="F0BA1B"/>
      </a:accent6>
      <a:hlink>
        <a:srgbClr val="3091C4"/>
      </a:hlink>
      <a:folHlink>
        <a:srgbClr val="FAB156"/>
      </a:folHlink>
    </a:clrScheme>
    <a:fontScheme name="Urban Pop">
      <a:majorFont>
        <a:latin typeface="Gill Sans MT"/>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Gill Sans MT"/>
        <a:ea typeface=""/>
        <a:cs typeface=""/>
        <a:font script="Grek" typeface="Corbel"/>
        <a:font script="Cyrl" typeface="Corbel"/>
        <a:font script="Jpan" typeface="HGｺﾞｼｯｸE"/>
        <a:font script="Hang" typeface="HY엽서L"/>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raClrScheme>
      <a:clrScheme name="4_Blank Presentation 1">
        <a:dk1>
          <a:srgbClr val="000000"/>
        </a:dk1>
        <a:lt1>
          <a:srgbClr val="FFFFFF"/>
        </a:lt1>
        <a:dk2>
          <a:srgbClr val="000000"/>
        </a:dk2>
        <a:lt2>
          <a:srgbClr val="808080"/>
        </a:lt2>
        <a:accent1>
          <a:srgbClr val="BBE0E3"/>
        </a:accent1>
        <a:accent2>
          <a:srgbClr val="333399"/>
        </a:accent2>
        <a:accent3>
          <a:srgbClr val="FFFFFF"/>
        </a:accent3>
        <a:accent4>
          <a:srgbClr val="000000"/>
        </a:accent4>
        <a:accent5>
          <a:srgbClr val="DAEDEF"/>
        </a:accent5>
        <a:accent6>
          <a:srgbClr val="2D2D8A"/>
        </a:accent6>
        <a:hlink>
          <a:srgbClr val="009999"/>
        </a:hlink>
        <a:folHlink>
          <a:srgbClr val="99CC00"/>
        </a:folHlink>
      </a:clrScheme>
      <a:clrMap bg1="lt1" tx1="dk1" bg2="lt2" tx2="dk2" accent1="accent1" accent2="accent2" accent3="accent3" accent4="accent4" accent5="accent5" accent6="accent6" hlink="hlink" folHlink="folHlink"/>
    </a:extraClrScheme>
    <a:extraClrScheme>
      <a:clrScheme name="4_Blank Presentation 2">
        <a:dk1>
          <a:srgbClr val="000000"/>
        </a:dk1>
        <a:lt1>
          <a:srgbClr val="FFFFFF"/>
        </a:lt1>
        <a:dk2>
          <a:srgbClr val="000000"/>
        </a:dk2>
        <a:lt2>
          <a:srgbClr val="969696"/>
        </a:lt2>
        <a:accent1>
          <a:srgbClr val="FBDF53"/>
        </a:accent1>
        <a:accent2>
          <a:srgbClr val="FF9966"/>
        </a:accent2>
        <a:accent3>
          <a:srgbClr val="FFFFFF"/>
        </a:accent3>
        <a:accent4>
          <a:srgbClr val="000000"/>
        </a:accent4>
        <a:accent5>
          <a:srgbClr val="FDECB3"/>
        </a:accent5>
        <a:accent6>
          <a:srgbClr val="E78A5C"/>
        </a:accent6>
        <a:hlink>
          <a:srgbClr val="CC3300"/>
        </a:hlink>
        <a:folHlink>
          <a:srgbClr val="996600"/>
        </a:folHlink>
      </a:clrScheme>
      <a:clrMap bg1="lt1" tx1="dk1" bg2="lt2" tx2="dk2" accent1="accent1" accent2="accent2" accent3="accent3" accent4="accent4" accent5="accent5" accent6="accent6" hlink="hlink" folHlink="folHlink"/>
    </a:extraClrScheme>
    <a:extraClrScheme>
      <a:clrScheme name="4_Blank Presentation 3">
        <a:dk1>
          <a:srgbClr val="000000"/>
        </a:dk1>
        <a:lt1>
          <a:srgbClr val="FFFFFF"/>
        </a:lt1>
        <a:dk2>
          <a:srgbClr val="000000"/>
        </a:dk2>
        <a:lt2>
          <a:srgbClr val="808080"/>
        </a:lt2>
        <a:accent1>
          <a:srgbClr val="99CCFF"/>
        </a:accent1>
        <a:accent2>
          <a:srgbClr val="CCCCFF"/>
        </a:accent2>
        <a:accent3>
          <a:srgbClr val="FFFFFF"/>
        </a:accent3>
        <a:accent4>
          <a:srgbClr val="000000"/>
        </a:accent4>
        <a:accent5>
          <a:srgbClr val="CAE2FF"/>
        </a:accent5>
        <a:accent6>
          <a:srgbClr val="B9B9E7"/>
        </a:accent6>
        <a:hlink>
          <a:srgbClr val="3333CC"/>
        </a:hlink>
        <a:folHlink>
          <a:srgbClr val="AF67FF"/>
        </a:folHlink>
      </a:clrScheme>
      <a:clrMap bg1="lt1" tx1="dk1" bg2="lt2" tx2="dk2" accent1="accent1" accent2="accent2" accent3="accent3" accent4="accent4" accent5="accent5" accent6="accent6" hlink="hlink" folHlink="folHlink"/>
    </a:extraClrScheme>
    <a:extraClrScheme>
      <a:clrScheme name="4_Blank Presentation 4">
        <a:dk1>
          <a:srgbClr val="000000"/>
        </a:dk1>
        <a:lt1>
          <a:srgbClr val="DEF6F1"/>
        </a:lt1>
        <a:dk2>
          <a:srgbClr val="000000"/>
        </a:dk2>
        <a:lt2>
          <a:srgbClr val="969696"/>
        </a:lt2>
        <a:accent1>
          <a:srgbClr val="FFFFFF"/>
        </a:accent1>
        <a:accent2>
          <a:srgbClr val="8DC6FF"/>
        </a:accent2>
        <a:accent3>
          <a:srgbClr val="ECFAF7"/>
        </a:accent3>
        <a:accent4>
          <a:srgbClr val="000000"/>
        </a:accent4>
        <a:accent5>
          <a:srgbClr val="FFFFFF"/>
        </a:accent5>
        <a:accent6>
          <a:srgbClr val="7FB3E7"/>
        </a:accent6>
        <a:hlink>
          <a:srgbClr val="0066CC"/>
        </a:hlink>
        <a:folHlink>
          <a:srgbClr val="00A800"/>
        </a:folHlink>
      </a:clrScheme>
      <a:clrMap bg1="lt1" tx1="dk1" bg2="lt2" tx2="dk2" accent1="accent1" accent2="accent2" accent3="accent3" accent4="accent4" accent5="accent5" accent6="accent6" hlink="hlink" folHlink="folHlink"/>
    </a:extraClrScheme>
    <a:extraClrScheme>
      <a:clrScheme name="4_Blank Presentation 5">
        <a:dk1>
          <a:srgbClr val="000000"/>
        </a:dk1>
        <a:lt1>
          <a:srgbClr val="FFFFD9"/>
        </a:lt1>
        <a:dk2>
          <a:srgbClr val="000000"/>
        </a:dk2>
        <a:lt2>
          <a:srgbClr val="777777"/>
        </a:lt2>
        <a:accent1>
          <a:srgbClr val="FFFFF7"/>
        </a:accent1>
        <a:accent2>
          <a:srgbClr val="33CCCC"/>
        </a:accent2>
        <a:accent3>
          <a:srgbClr val="FFFFE9"/>
        </a:accent3>
        <a:accent4>
          <a:srgbClr val="000000"/>
        </a:accent4>
        <a:accent5>
          <a:srgbClr val="FFFFFA"/>
        </a:accent5>
        <a:accent6>
          <a:srgbClr val="2DB9B9"/>
        </a:accent6>
        <a:hlink>
          <a:srgbClr val="FF5050"/>
        </a:hlink>
        <a:folHlink>
          <a:srgbClr val="FF9900"/>
        </a:folHlink>
      </a:clrScheme>
      <a:clrMap bg1="lt1" tx1="dk1" bg2="lt2" tx2="dk2" accent1="accent1" accent2="accent2" accent3="accent3" accent4="accent4" accent5="accent5" accent6="accent6" hlink="hlink" folHlink="folHlink"/>
    </a:extraClrScheme>
    <a:extraClrScheme>
      <a:clrScheme name="4_Blank Presentation 6">
        <a:dk1>
          <a:srgbClr val="005A58"/>
        </a:dk1>
        <a:lt1>
          <a:srgbClr val="FFFFFF"/>
        </a:lt1>
        <a:dk2>
          <a:srgbClr val="008080"/>
        </a:dk2>
        <a:lt2>
          <a:srgbClr val="FFFF99"/>
        </a:lt2>
        <a:accent1>
          <a:srgbClr val="006462"/>
        </a:accent1>
        <a:accent2>
          <a:srgbClr val="6D6FC7"/>
        </a:accent2>
        <a:accent3>
          <a:srgbClr val="AAC0C0"/>
        </a:accent3>
        <a:accent4>
          <a:srgbClr val="DADADA"/>
        </a:accent4>
        <a:accent5>
          <a:srgbClr val="AAB8B7"/>
        </a:accent5>
        <a:accent6>
          <a:srgbClr val="6264B4"/>
        </a:accent6>
        <a:hlink>
          <a:srgbClr val="00FFFF"/>
        </a:hlink>
        <a:folHlink>
          <a:srgbClr val="00FF00"/>
        </a:folHlink>
      </a:clrScheme>
      <a:clrMap bg1="dk2" tx1="lt1" bg2="dk1" tx2="lt2" accent1="accent1" accent2="accent2" accent3="accent3" accent4="accent4" accent5="accent5" accent6="accent6" hlink="hlink" folHlink="folHlink"/>
    </a:extraClrScheme>
    <a:extraClrScheme>
      <a:clrScheme name="4_Blank Presentation 7">
        <a:dk1>
          <a:srgbClr val="5C1F00"/>
        </a:dk1>
        <a:lt1>
          <a:srgbClr val="FFFFFF"/>
        </a:lt1>
        <a:dk2>
          <a:srgbClr val="800000"/>
        </a:dk2>
        <a:lt2>
          <a:srgbClr val="DFD293"/>
        </a:lt2>
        <a:accent1>
          <a:srgbClr val="713E39"/>
        </a:accent1>
        <a:accent2>
          <a:srgbClr val="BE7960"/>
        </a:accent2>
        <a:accent3>
          <a:srgbClr val="C0AAAA"/>
        </a:accent3>
        <a:accent4>
          <a:srgbClr val="DADADA"/>
        </a:accent4>
        <a:accent5>
          <a:srgbClr val="BBAFAE"/>
        </a:accent5>
        <a:accent6>
          <a:srgbClr val="AC6D56"/>
        </a:accent6>
        <a:hlink>
          <a:srgbClr val="FFFF99"/>
        </a:hlink>
        <a:folHlink>
          <a:srgbClr val="D3A219"/>
        </a:folHlink>
      </a:clrScheme>
      <a:clrMap bg1="dk2" tx1="lt1" bg2="dk1" tx2="lt2" accent1="accent1" accent2="accent2" accent3="accent3" accent4="accent4" accent5="accent5" accent6="accent6" hlink="hlink" folHlink="folHlink"/>
    </a:extraClrScheme>
    <a:extraClrScheme>
      <a:clrScheme name="4_Blank Presentation 8">
        <a:dk1>
          <a:srgbClr val="003366"/>
        </a:dk1>
        <a:lt1>
          <a:srgbClr val="FFFFFF"/>
        </a:lt1>
        <a:dk2>
          <a:srgbClr val="000099"/>
        </a:dk2>
        <a:lt2>
          <a:srgbClr val="CCFFFF"/>
        </a:lt2>
        <a:accent1>
          <a:srgbClr val="3366CC"/>
        </a:accent1>
        <a:accent2>
          <a:srgbClr val="00B000"/>
        </a:accent2>
        <a:accent3>
          <a:srgbClr val="AAAACA"/>
        </a:accent3>
        <a:accent4>
          <a:srgbClr val="DADADA"/>
        </a:accent4>
        <a:accent5>
          <a:srgbClr val="ADB8E2"/>
        </a:accent5>
        <a:accent6>
          <a:srgbClr val="009F00"/>
        </a:accent6>
        <a:hlink>
          <a:srgbClr val="66CCFF"/>
        </a:hlink>
        <a:folHlink>
          <a:srgbClr val="FFE701"/>
        </a:folHlink>
      </a:clrScheme>
      <a:clrMap bg1="dk2" tx1="lt1" bg2="dk1" tx2="lt2" accent1="accent1" accent2="accent2" accent3="accent3" accent4="accent4" accent5="accent5" accent6="accent6" hlink="hlink" folHlink="folHlink"/>
    </a:extraClrScheme>
    <a:extraClrScheme>
      <a:clrScheme name="4_Blank Presentation 9">
        <a:dk1>
          <a:srgbClr val="336699"/>
        </a:dk1>
        <a:lt1>
          <a:srgbClr val="FFFFFF"/>
        </a:lt1>
        <a:dk2>
          <a:srgbClr val="000000"/>
        </a:dk2>
        <a:lt2>
          <a:srgbClr val="E3EBF1"/>
        </a:lt2>
        <a:accent1>
          <a:srgbClr val="003399"/>
        </a:accent1>
        <a:accent2>
          <a:srgbClr val="468A4B"/>
        </a:accent2>
        <a:accent3>
          <a:srgbClr val="AAAAAA"/>
        </a:accent3>
        <a:accent4>
          <a:srgbClr val="DADADA"/>
        </a:accent4>
        <a:accent5>
          <a:srgbClr val="AAADCA"/>
        </a:accent5>
        <a:accent6>
          <a:srgbClr val="3F7D43"/>
        </a:accent6>
        <a:hlink>
          <a:srgbClr val="66CCFF"/>
        </a:hlink>
        <a:folHlink>
          <a:srgbClr val="F0E500"/>
        </a:folHlink>
      </a:clrScheme>
      <a:clrMap bg1="dk2" tx1="lt1" bg2="dk1" tx2="lt2" accent1="accent1" accent2="accent2" accent3="accent3" accent4="accent4" accent5="accent5" accent6="accent6" hlink="hlink" folHlink="folHlink"/>
    </a:extraClrScheme>
    <a:extraClrScheme>
      <a:clrScheme name="4_Blank Presentation 10">
        <a:dk1>
          <a:srgbClr val="777777"/>
        </a:dk1>
        <a:lt1>
          <a:srgbClr val="FFFFFF"/>
        </a:lt1>
        <a:dk2>
          <a:srgbClr val="686B5D"/>
        </a:dk2>
        <a:lt2>
          <a:srgbClr val="D1D1CB"/>
        </a:lt2>
        <a:accent1>
          <a:srgbClr val="909082"/>
        </a:accent1>
        <a:accent2>
          <a:srgbClr val="809EA8"/>
        </a:accent2>
        <a:accent3>
          <a:srgbClr val="B9BAB6"/>
        </a:accent3>
        <a:accent4>
          <a:srgbClr val="DADADA"/>
        </a:accent4>
        <a:accent5>
          <a:srgbClr val="C6C6C1"/>
        </a:accent5>
        <a:accent6>
          <a:srgbClr val="738F98"/>
        </a:accent6>
        <a:hlink>
          <a:srgbClr val="FFCC66"/>
        </a:hlink>
        <a:folHlink>
          <a:srgbClr val="E9DCB9"/>
        </a:folHlink>
      </a:clrScheme>
      <a:clrMap bg1="dk2" tx1="lt1" bg2="dk1" tx2="lt2" accent1="accent1" accent2="accent2" accent3="accent3" accent4="accent4" accent5="accent5" accent6="accent6" hlink="hlink" folHlink="folHlink"/>
    </a:extraClrScheme>
    <a:extraClrScheme>
      <a:clrScheme name="4_Blank Presentation 11">
        <a:dk1>
          <a:srgbClr val="3E3E5C"/>
        </a:dk1>
        <a:lt1>
          <a:srgbClr val="FFFFFF"/>
        </a:lt1>
        <a:dk2>
          <a:srgbClr val="666699"/>
        </a:dk2>
        <a:lt2>
          <a:srgbClr val="FFFFFF"/>
        </a:lt2>
        <a:accent1>
          <a:srgbClr val="60597B"/>
        </a:accent1>
        <a:accent2>
          <a:srgbClr val="6666FF"/>
        </a:accent2>
        <a:accent3>
          <a:srgbClr val="B8B8CA"/>
        </a:accent3>
        <a:accent4>
          <a:srgbClr val="DADADA"/>
        </a:accent4>
        <a:accent5>
          <a:srgbClr val="B6B5BF"/>
        </a:accent5>
        <a:accent6>
          <a:srgbClr val="5C5CE7"/>
        </a:accent6>
        <a:hlink>
          <a:srgbClr val="99CCFF"/>
        </a:hlink>
        <a:folHlink>
          <a:srgbClr val="FFFF99"/>
        </a:folHlink>
      </a:clrScheme>
      <a:clrMap bg1="dk2" tx1="lt1" bg2="dk1" tx2="lt2" accent1="accent1" accent2="accent2" accent3="accent3" accent4="accent4" accent5="accent5" accent6="accent6" hlink="hlink" folHlink="folHlink"/>
    </a:extraClrScheme>
    <a:extraClrScheme>
      <a:clrScheme name="4_Blank Presentation 12">
        <a:dk1>
          <a:srgbClr val="2D2015"/>
        </a:dk1>
        <a:lt1>
          <a:srgbClr val="FFFFFF"/>
        </a:lt1>
        <a:dk2>
          <a:srgbClr val="523E26"/>
        </a:dk2>
        <a:lt2>
          <a:srgbClr val="DFC08D"/>
        </a:lt2>
        <a:accent1>
          <a:srgbClr val="8C7B70"/>
        </a:accent1>
        <a:accent2>
          <a:srgbClr val="8F5F2F"/>
        </a:accent2>
        <a:accent3>
          <a:srgbClr val="B3AFAC"/>
        </a:accent3>
        <a:accent4>
          <a:srgbClr val="DADADA"/>
        </a:accent4>
        <a:accent5>
          <a:srgbClr val="C5BFBB"/>
        </a:accent5>
        <a:accent6>
          <a:srgbClr val="81552A"/>
        </a:accent6>
        <a:hlink>
          <a:srgbClr val="CCB400"/>
        </a:hlink>
        <a:folHlink>
          <a:srgbClr val="8C9EA0"/>
        </a:folHlink>
      </a:clrScheme>
      <a:clrMap bg1="dk2" tx1="lt1" bg2="dk1" tx2="lt2" accent1="accent1" accent2="accent2" accent3="accent3" accent4="accent4" accent5="accent5" accent6="accent6" hlink="hlink" folHlink="folHlink"/>
    </a:extraClrScheme>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65"/>
  <sheetViews>
    <sheetView zoomScale="60" zoomScaleNormal="60" workbookViewId="0">
      <selection activeCell="P6" sqref="P6"/>
    </sheetView>
  </sheetViews>
  <sheetFormatPr defaultColWidth="11" defaultRowHeight="19.5" x14ac:dyDescent="0.4"/>
  <cols>
    <col min="1" max="1" width="9" customWidth="1"/>
    <col min="3" max="3" width="13" customWidth="1"/>
    <col min="4" max="4" width="13" style="1" customWidth="1"/>
    <col min="5" max="7" width="13" customWidth="1"/>
    <col min="8" max="8" width="13" style="1" customWidth="1"/>
    <col min="9" max="11" width="13" customWidth="1"/>
    <col min="12" max="12" width="18.625" style="1" customWidth="1"/>
    <col min="13" max="14" width="13" customWidth="1"/>
    <col min="15" max="15" width="3.875" customWidth="1"/>
    <col min="16" max="16" width="31.375" customWidth="1"/>
    <col min="17" max="17" width="15.875" customWidth="1"/>
    <col min="18" max="18" width="22.375" customWidth="1"/>
    <col min="19" max="19" width="15.875" customWidth="1"/>
    <col min="20" max="20" width="15.75" customWidth="1"/>
  </cols>
  <sheetData>
    <row r="1" spans="1:20" ht="20.25" thickBot="1" x14ac:dyDescent="0.45">
      <c r="C1" s="61" t="s">
        <v>17</v>
      </c>
      <c r="D1" s="62"/>
      <c r="E1" s="62"/>
      <c r="F1" s="63"/>
      <c r="G1" s="64" t="s">
        <v>14</v>
      </c>
      <c r="H1" s="65"/>
      <c r="I1" s="65"/>
      <c r="J1" s="66"/>
      <c r="K1" s="64" t="s">
        <v>18</v>
      </c>
      <c r="L1" s="65"/>
      <c r="M1" s="65"/>
      <c r="N1" s="66"/>
    </row>
    <row r="2" spans="1:20" x14ac:dyDescent="0.4">
      <c r="A2" t="s">
        <v>0</v>
      </c>
      <c r="B2" t="s">
        <v>1</v>
      </c>
      <c r="C2" s="7" t="s">
        <v>19</v>
      </c>
      <c r="D2" s="8" t="s">
        <v>20</v>
      </c>
      <c r="E2" s="29" t="s">
        <v>21</v>
      </c>
      <c r="F2" s="29" t="s">
        <v>28</v>
      </c>
      <c r="G2" s="7" t="s">
        <v>19</v>
      </c>
      <c r="H2" s="8" t="s">
        <v>20</v>
      </c>
      <c r="I2" s="29" t="s">
        <v>21</v>
      </c>
      <c r="J2" s="29" t="s">
        <v>28</v>
      </c>
      <c r="K2" s="7" t="s">
        <v>19</v>
      </c>
      <c r="L2" s="8" t="s">
        <v>20</v>
      </c>
      <c r="M2" s="29" t="s">
        <v>21</v>
      </c>
      <c r="N2" s="9" t="s">
        <v>28</v>
      </c>
      <c r="P2" s="55" t="s">
        <v>2</v>
      </c>
      <c r="R2" s="28" t="s">
        <v>5</v>
      </c>
      <c r="S2" s="9"/>
    </row>
    <row r="3" spans="1:20" x14ac:dyDescent="0.4">
      <c r="A3">
        <v>1</v>
      </c>
      <c r="B3" s="1">
        <f>P6</f>
        <v>91000</v>
      </c>
      <c r="C3" s="10">
        <f t="shared" ref="C3:C22" si="0">MAX(0,MIN(0.1*($B3-1.5*$P$12*(1+$P$18)^(A3-1)),$S$9))</f>
        <v>7291</v>
      </c>
      <c r="D3" s="11">
        <f>$P$9*(1+($S$5))-C3</f>
        <v>97159</v>
      </c>
      <c r="E3" s="11">
        <f>MAX(IF(D3&gt;0,C3,C3+D3),0)</f>
        <v>7291</v>
      </c>
      <c r="F3" s="11">
        <f>E3/(1+$P$15)^A3</f>
        <v>7078.6407766990287</v>
      </c>
      <c r="G3" s="10">
        <f>MAX(0,0.1*($B3-1.5*$P$12*(1+$P$18)^(A3-1)))</f>
        <v>7291</v>
      </c>
      <c r="H3" s="39">
        <f>$P$9*(1+$S$5)-G3</f>
        <v>97159</v>
      </c>
      <c r="I3" s="11">
        <f>MAX(IF(H3&gt;0,G3,G3+H3),0)</f>
        <v>7291</v>
      </c>
      <c r="J3" s="11">
        <f>I3/(1+$P$15)^A3</f>
        <v>7078.6407766990287</v>
      </c>
      <c r="K3" s="10">
        <f>MAX(25*12,0.15*($B3-1.5*$P$12*(1+$P$18)^(A3-1)))</f>
        <v>10936.5</v>
      </c>
      <c r="L3" s="11">
        <f>$P$9*(1+$S$5)-K3</f>
        <v>93513.5</v>
      </c>
      <c r="M3" s="11">
        <f>IF(L3&lt;0,K3,MAX(IF(L3&gt;0,K3,K3+L3),0))</f>
        <v>10936.5</v>
      </c>
      <c r="N3" s="12">
        <f>M3/(1+$P$15)^A3</f>
        <v>10617.961165048544</v>
      </c>
      <c r="O3" s="1"/>
      <c r="P3" s="56">
        <v>0.04</v>
      </c>
      <c r="R3" s="15"/>
      <c r="S3" s="17"/>
    </row>
    <row r="4" spans="1:20" x14ac:dyDescent="0.4">
      <c r="A4">
        <f>A3+1</f>
        <v>2</v>
      </c>
      <c r="B4" s="1">
        <f t="shared" ref="B4:B62" si="1">B3*(1+$P$3)</f>
        <v>94640</v>
      </c>
      <c r="C4" s="10">
        <f t="shared" si="0"/>
        <v>7618.82</v>
      </c>
      <c r="D4" s="11">
        <f>D3*(1+$S$5)-C4</f>
        <v>93863.755499999999</v>
      </c>
      <c r="E4" s="11">
        <f>MAX(IF(D4&gt;0,C4,C4+D4),0)</f>
        <v>7618.82</v>
      </c>
      <c r="F4" s="11">
        <f t="shared" ref="F4:F22" si="2">E4/(1+$P$15)^A4</f>
        <v>7181.46856442643</v>
      </c>
      <c r="G4" s="10">
        <f t="shared" ref="G4:G22" si="3">MAX(0,0.1*($B4-1.5*$P$12*(1+$P$18)^(A4-1)))</f>
        <v>7618.82</v>
      </c>
      <c r="H4" s="11">
        <f t="shared" ref="H4:H22" si="4">H3*(1+$S$5)-G4</f>
        <v>93863.755499999999</v>
      </c>
      <c r="I4" s="11">
        <f>MAX(IF(H4&gt;0,G4,G4+H4),0)</f>
        <v>7618.82</v>
      </c>
      <c r="J4" s="11">
        <f t="shared" ref="J4:J27" si="5">I4/(1+$P$15)^A4</f>
        <v>7181.46856442643</v>
      </c>
      <c r="K4" s="10">
        <f>MAX(25*12,0.15*($B4-1.5*$P$12*(1+$P$18)^(A4-1)))</f>
        <v>11428.23</v>
      </c>
      <c r="L4" s="11">
        <f>L3*(1+$S$5)-K4</f>
        <v>86246.620750000002</v>
      </c>
      <c r="M4" s="11">
        <f>IF(AND(SUM($K$3:K4)&gt;=$S$10,M3&lt;$S$10),$S$10-M3,IF(AND(SUM($K$3:K4)&gt;=$S$10,M3&gt;$S$10),0,K4))</f>
        <v>11428.23</v>
      </c>
      <c r="N4" s="12">
        <f t="shared" ref="N4:N62" si="6">M4/(1+$P$15)^A4</f>
        <v>10772.202846639646</v>
      </c>
      <c r="O4" s="1"/>
      <c r="P4" s="56"/>
      <c r="R4" s="7" t="s">
        <v>6</v>
      </c>
      <c r="S4" s="9">
        <v>10</v>
      </c>
    </row>
    <row r="5" spans="1:20" x14ac:dyDescent="0.4">
      <c r="A5">
        <f t="shared" ref="A5:A62" si="7">A4+1</f>
        <v>3</v>
      </c>
      <c r="B5" s="1">
        <f t="shared" si="1"/>
        <v>98425.600000000006</v>
      </c>
      <c r="C5" s="10">
        <f t="shared" si="0"/>
        <v>7960.4764000000014</v>
      </c>
      <c r="D5" s="11">
        <f t="shared" ref="D5:D22" si="8">D4*(1+$S$5)-C5</f>
        <v>90080.21621975</v>
      </c>
      <c r="E5" s="11">
        <f t="shared" ref="E5:E21" si="9">MAX(IF(D5&gt;0,C5,C5+D5),0)</f>
        <v>7960.4764000000014</v>
      </c>
      <c r="F5" s="11">
        <f t="shared" si="2"/>
        <v>7284.9635819376672</v>
      </c>
      <c r="G5" s="10">
        <f t="shared" si="3"/>
        <v>7960.4764000000014</v>
      </c>
      <c r="H5" s="11">
        <f t="shared" si="4"/>
        <v>90080.21621975</v>
      </c>
      <c r="I5" s="11">
        <f t="shared" ref="I5:I27" si="10">MAX(IF(H5&gt;0,G5,G5+H5),0)</f>
        <v>7960.4764000000014</v>
      </c>
      <c r="J5" s="11">
        <f t="shared" si="5"/>
        <v>7284.9635819376672</v>
      </c>
      <c r="K5" s="10">
        <f t="shared" ref="K5:K52" si="11">MAX(25*12,0.15*($B5-1.5*$P$12*(1+$P$18)^(A5-1)))</f>
        <v>11940.714600000001</v>
      </c>
      <c r="L5" s="11">
        <f t="shared" ref="L5:L52" si="12">L4*(1+$S$5)-K5</f>
        <v>78143.880773375</v>
      </c>
      <c r="M5" s="11">
        <f>IF(AND(SUM($K$3:K5)&gt;=$S$10,SUM($M$3:M4)&lt;$S$10),$S$10-SUM($M$3:M4),IF(AND(SUM($K$3:K4)&gt;=$S$10,SUM($M$3:M4)&gt;=$S$10),0,K5))</f>
        <v>11940.714600000001</v>
      </c>
      <c r="N5" s="12">
        <f t="shared" si="6"/>
        <v>10927.445372906501</v>
      </c>
      <c r="O5" s="1"/>
      <c r="P5" s="57" t="s">
        <v>22</v>
      </c>
      <c r="R5" s="13" t="s">
        <v>7</v>
      </c>
      <c r="S5" s="14">
        <v>4.4499999999999998E-2</v>
      </c>
    </row>
    <row r="6" spans="1:20" x14ac:dyDescent="0.4">
      <c r="A6">
        <f t="shared" si="7"/>
        <v>4</v>
      </c>
      <c r="B6" s="1">
        <f t="shared" si="1"/>
        <v>102362.62400000001</v>
      </c>
      <c r="C6" s="10">
        <f t="shared" si="0"/>
        <v>8316.5371280000018</v>
      </c>
      <c r="D6" s="11">
        <f t="shared" si="8"/>
        <v>85772.248713528883</v>
      </c>
      <c r="E6" s="11">
        <f t="shared" si="9"/>
        <v>8316.5371280000018</v>
      </c>
      <c r="F6" s="11">
        <f t="shared" si="2"/>
        <v>7389.1355217379441</v>
      </c>
      <c r="G6" s="10">
        <f t="shared" si="3"/>
        <v>8316.5371280000018</v>
      </c>
      <c r="H6" s="11">
        <f t="shared" si="4"/>
        <v>85772.248713528883</v>
      </c>
      <c r="I6" s="11">
        <f t="shared" si="10"/>
        <v>8316.5371280000018</v>
      </c>
      <c r="J6" s="11">
        <f t="shared" si="5"/>
        <v>7389.1355217379441</v>
      </c>
      <c r="K6" s="10">
        <f t="shared" si="11"/>
        <v>12474.805692</v>
      </c>
      <c r="L6" s="11">
        <f>L5*(1+$S$5)-K6</f>
        <v>69146.47777579019</v>
      </c>
      <c r="M6" s="11">
        <f>IF(AND(SUM($K$3:K6)&gt;=$S$10,SUM($M$3:M5)&lt;$S$10),$S$10-SUM($M$3:M5),IF(AND(SUM($K$3:K5)&gt;=$S$10,SUM($M$3:M5)&gt;=$S$10),0,K6))</f>
        <v>12474.805692</v>
      </c>
      <c r="N6" s="12">
        <f t="shared" si="6"/>
        <v>11083.703282606913</v>
      </c>
      <c r="O6" s="1"/>
      <c r="P6" s="2">
        <v>91000</v>
      </c>
      <c r="R6" s="13" t="s">
        <v>8</v>
      </c>
      <c r="S6" s="14">
        <v>0</v>
      </c>
    </row>
    <row r="7" spans="1:20" x14ac:dyDescent="0.4">
      <c r="A7">
        <f t="shared" si="7"/>
        <v>5</v>
      </c>
      <c r="B7" s="1">
        <f t="shared" si="1"/>
        <v>106457.12896000002</v>
      </c>
      <c r="C7" s="10">
        <f t="shared" si="0"/>
        <v>8687.593118560002</v>
      </c>
      <c r="D7" s="11">
        <f t="shared" si="8"/>
        <v>80901.520662720912</v>
      </c>
      <c r="E7" s="11">
        <f t="shared" si="9"/>
        <v>8687.593118560002</v>
      </c>
      <c r="F7" s="11">
        <f t="shared" si="2"/>
        <v>7493.9941392252722</v>
      </c>
      <c r="G7" s="10">
        <f t="shared" si="3"/>
        <v>8687.593118560002</v>
      </c>
      <c r="H7" s="11">
        <f t="shared" si="4"/>
        <v>80901.520662720912</v>
      </c>
      <c r="I7" s="11">
        <f t="shared" si="10"/>
        <v>8687.593118560002</v>
      </c>
      <c r="J7" s="11">
        <f t="shared" si="5"/>
        <v>7493.9941392252722</v>
      </c>
      <c r="K7" s="10">
        <f t="shared" si="11"/>
        <v>13031.389677840001</v>
      </c>
      <c r="L7" s="11">
        <f t="shared" si="12"/>
        <v>59192.106358972851</v>
      </c>
      <c r="M7" s="11">
        <f>IF(AND(SUM($K$3:K7)&gt;=$S$10,SUM($M$3:M6)&lt;$S$10),$S$10-SUM($M$3:M6),IF(AND(SUM($K$3:K6)&gt;=$S$10,SUM($M$3:M6)&gt;=$S$10),0,K7))</f>
        <v>13031.389677840001</v>
      </c>
      <c r="N7" s="12">
        <f t="shared" si="6"/>
        <v>11240.991208837908</v>
      </c>
      <c r="O7" s="1"/>
      <c r="P7" s="56"/>
      <c r="R7" s="13" t="s">
        <v>3</v>
      </c>
      <c r="S7" s="12">
        <f>P9*(1+S6)</f>
        <v>100000</v>
      </c>
    </row>
    <row r="8" spans="1:20" x14ac:dyDescent="0.4">
      <c r="A8">
        <f t="shared" si="7"/>
        <v>6</v>
      </c>
      <c r="B8" s="1">
        <f t="shared" si="1"/>
        <v>110715.41411840002</v>
      </c>
      <c r="C8" s="10">
        <f t="shared" si="0"/>
        <v>9074.2592388512021</v>
      </c>
      <c r="D8" s="11">
        <f t="shared" si="8"/>
        <v>75427.379093360796</v>
      </c>
      <c r="E8" s="11">
        <f t="shared" si="9"/>
        <v>9074.2592388512021</v>
      </c>
      <c r="F8" s="11">
        <f t="shared" si="2"/>
        <v>7599.5492536040829</v>
      </c>
      <c r="G8" s="10">
        <f t="shared" si="3"/>
        <v>9074.2592388512021</v>
      </c>
      <c r="H8" s="11">
        <f t="shared" si="4"/>
        <v>75427.379093360796</v>
      </c>
      <c r="I8" s="11">
        <f t="shared" si="10"/>
        <v>9074.2592388512021</v>
      </c>
      <c r="J8" s="11">
        <f t="shared" si="5"/>
        <v>7599.5492536040829</v>
      </c>
      <c r="K8" s="10">
        <f t="shared" si="11"/>
        <v>13611.388858276801</v>
      </c>
      <c r="L8" s="11">
        <f t="shared" si="12"/>
        <v>48214.766233670336</v>
      </c>
      <c r="M8" s="11">
        <f>IF(AND(SUM($K$3:K8)&gt;=$S$10,SUM($M$3:M7)&lt;$S$10),$S$10-SUM($M$3:M7),IF(AND(SUM($K$3:K7)&gt;=$S$10,SUM($M$3:M7)&gt;=$S$10),0,K8))</f>
        <v>13611.388858276801</v>
      </c>
      <c r="N8" s="12">
        <f t="shared" si="6"/>
        <v>11399.323880406122</v>
      </c>
      <c r="O8" s="1"/>
      <c r="P8" s="57" t="s">
        <v>3</v>
      </c>
      <c r="R8" s="13" t="s">
        <v>40</v>
      </c>
      <c r="S8" s="42">
        <f>(1+(S5/365))^(365/12)-1</f>
        <v>3.7149908312956725E-3</v>
      </c>
      <c r="T8" s="38"/>
    </row>
    <row r="9" spans="1:20" x14ac:dyDescent="0.4">
      <c r="A9">
        <f t="shared" si="7"/>
        <v>7</v>
      </c>
      <c r="B9" s="1">
        <f t="shared" si="1"/>
        <v>115144.03068313602</v>
      </c>
      <c r="C9" s="10">
        <f t="shared" si="0"/>
        <v>9477.1752518650264</v>
      </c>
      <c r="D9" s="11">
        <f t="shared" si="8"/>
        <v>69306.722211150322</v>
      </c>
      <c r="E9" s="11">
        <f t="shared" si="9"/>
        <v>9477.1752518650264</v>
      </c>
      <c r="F9" s="11">
        <f t="shared" si="2"/>
        <v>7705.8107488047635</v>
      </c>
      <c r="G9" s="10">
        <f t="shared" si="3"/>
        <v>9477.1752518650264</v>
      </c>
      <c r="H9" s="11">
        <f t="shared" si="4"/>
        <v>69306.722211150322</v>
      </c>
      <c r="I9" s="11">
        <f t="shared" si="10"/>
        <v>9477.1752518650264</v>
      </c>
      <c r="J9" s="11">
        <f t="shared" si="5"/>
        <v>7705.8107488047635</v>
      </c>
      <c r="K9" s="10">
        <f t="shared" si="11"/>
        <v>14215.762877797539</v>
      </c>
      <c r="L9" s="11">
        <f t="shared" si="12"/>
        <v>36144.560453271122</v>
      </c>
      <c r="M9" s="11">
        <f>IF(AND(SUM($K$3:K9)&gt;=$S$10,SUM($M$3:M8)&lt;$S$10),$S$10-SUM($M$3:M8),IF(AND(SUM($K$3:K8)&gt;=$S$10,SUM($M$3:M8)&gt;=$S$10),0,K9))</f>
        <v>14215.762877797539</v>
      </c>
      <c r="N9" s="12">
        <f t="shared" si="6"/>
        <v>11558.716123207145</v>
      </c>
      <c r="O9" s="1"/>
      <c r="P9" s="58">
        <v>100000</v>
      </c>
      <c r="R9" s="13" t="s">
        <v>12</v>
      </c>
      <c r="S9" s="12">
        <f>(S7*S8*((1+S8)^120))/(((1+S8)^120)-1)*12</f>
        <v>12412.32203208642</v>
      </c>
      <c r="T9" s="38">
        <f>S9/12</f>
        <v>1034.3601693405351</v>
      </c>
    </row>
    <row r="10" spans="1:20" x14ac:dyDescent="0.4">
      <c r="A10">
        <f t="shared" si="7"/>
        <v>8</v>
      </c>
      <c r="B10" s="1">
        <f t="shared" si="1"/>
        <v>119749.79191046147</v>
      </c>
      <c r="C10" s="10">
        <f t="shared" si="0"/>
        <v>9897.0068182686009</v>
      </c>
      <c r="D10" s="11">
        <f t="shared" si="8"/>
        <v>62493.864531277904</v>
      </c>
      <c r="E10" s="11">
        <f t="shared" si="9"/>
        <v>9897.0068182686009</v>
      </c>
      <c r="F10" s="11">
        <f t="shared" si="2"/>
        <v>7812.7885744092182</v>
      </c>
      <c r="G10" s="10">
        <f t="shared" si="3"/>
        <v>9897.0068182686009</v>
      </c>
      <c r="H10" s="11">
        <f t="shared" si="4"/>
        <v>62493.864531277904</v>
      </c>
      <c r="I10" s="11">
        <f t="shared" si="10"/>
        <v>9897.0068182686009</v>
      </c>
      <c r="J10" s="11">
        <f t="shared" si="5"/>
        <v>7812.7885744092182</v>
      </c>
      <c r="K10" s="10">
        <f t="shared" si="11"/>
        <v>14845.510227402898</v>
      </c>
      <c r="L10" s="11">
        <f t="shared" si="12"/>
        <v>22907.483166038786</v>
      </c>
      <c r="M10" s="11">
        <f>IF(AND(SUM($K$3:K10)&gt;=$S$10,SUM($M$3:M9)&lt;$S$10),$S$10-SUM($M$3:M9),IF(AND(SUM($K$3:K9)&gt;=$S$10,SUM($M$3:M9)&gt;=$S$10),0,K10))</f>
        <v>14845.510227402898</v>
      </c>
      <c r="N10" s="12">
        <f t="shared" si="6"/>
        <v>11719.182861613825</v>
      </c>
      <c r="O10" s="1"/>
      <c r="P10" s="56"/>
      <c r="R10" s="13" t="s">
        <v>9</v>
      </c>
      <c r="S10" s="12">
        <f>S9*S4</f>
        <v>124123.2203208642</v>
      </c>
    </row>
    <row r="11" spans="1:20" x14ac:dyDescent="0.4">
      <c r="A11">
        <f t="shared" si="7"/>
        <v>9</v>
      </c>
      <c r="B11" s="1">
        <f t="shared" si="1"/>
        <v>124539.78358687993</v>
      </c>
      <c r="C11" s="10">
        <f t="shared" si="0"/>
        <v>10334.446538454897</v>
      </c>
      <c r="D11" s="11">
        <f t="shared" si="8"/>
        <v>54940.394964464875</v>
      </c>
      <c r="E11" s="11">
        <f t="shared" si="9"/>
        <v>10334.446538454897</v>
      </c>
      <c r="F11" s="11">
        <f t="shared" si="2"/>
        <v>7920.4927465825085</v>
      </c>
      <c r="G11" s="10">
        <f t="shared" si="3"/>
        <v>10334.446538454897</v>
      </c>
      <c r="H11" s="11">
        <f t="shared" si="4"/>
        <v>54940.394964464875</v>
      </c>
      <c r="I11" s="11">
        <f t="shared" si="10"/>
        <v>10334.446538454897</v>
      </c>
      <c r="J11" s="11">
        <f t="shared" si="5"/>
        <v>7920.4927465825085</v>
      </c>
      <c r="K11" s="10">
        <f t="shared" si="11"/>
        <v>15501.669807682341</v>
      </c>
      <c r="L11" s="11">
        <f t="shared" si="12"/>
        <v>8425.1963592451721</v>
      </c>
      <c r="M11" s="11">
        <f>IF(AND(SUM($K$3:K11)&gt;=$S$10,SUM($M$3:M10)&lt;$S$10),$S$10-SUM($M$3:M10),IF(AND(SUM($K$3:K10)&gt;=$S$10,SUM($M$3:M10)&gt;=$S$10),0,K11))</f>
        <v>15501.669807682341</v>
      </c>
      <c r="N11" s="12">
        <f t="shared" si="6"/>
        <v>11880.739119873761</v>
      </c>
      <c r="O11" s="1"/>
      <c r="P11" s="57" t="s">
        <v>23</v>
      </c>
      <c r="R11" s="15" t="s">
        <v>11</v>
      </c>
      <c r="S11" s="20">
        <f>-PV(P15,S4,S9)</f>
        <v>105879.62460907869</v>
      </c>
    </row>
    <row r="12" spans="1:20" x14ac:dyDescent="0.4">
      <c r="A12">
        <f t="shared" si="7"/>
        <v>10</v>
      </c>
      <c r="B12" s="1">
        <f t="shared" si="1"/>
        <v>129521.37493035513</v>
      </c>
      <c r="C12" s="10">
        <f t="shared" si="0"/>
        <v>10790.215036397754</v>
      </c>
      <c r="D12" s="11">
        <f t="shared" si="8"/>
        <v>46595.027503985802</v>
      </c>
      <c r="E12" s="11">
        <f t="shared" si="9"/>
        <v>10790.215036397754</v>
      </c>
      <c r="F12" s="11">
        <f t="shared" si="2"/>
        <v>8028.9333490107156</v>
      </c>
      <c r="G12" s="10">
        <f t="shared" si="3"/>
        <v>10790.215036397754</v>
      </c>
      <c r="H12" s="11">
        <f t="shared" si="4"/>
        <v>46595.027503985802</v>
      </c>
      <c r="I12" s="11">
        <f t="shared" si="10"/>
        <v>10790.215036397754</v>
      </c>
      <c r="J12" s="11">
        <f t="shared" si="5"/>
        <v>8028.9333490107156</v>
      </c>
      <c r="K12" s="10">
        <f t="shared" si="11"/>
        <v>16185.322554596629</v>
      </c>
      <c r="L12" s="11">
        <f t="shared" si="12"/>
        <v>-7385.2049573650474</v>
      </c>
      <c r="M12" s="11">
        <f>IF(AND(SUM($K$3:K12)&gt;=$S$10,SUM($M$3:M11)&lt;$S$10),$S$10-SUM($M$3:M11),IF(AND(SUM($K$3:K11)&gt;=$S$10,SUM($M$3:M11)&gt;=$S$10),0,K12))</f>
        <v>6137.248579864623</v>
      </c>
      <c r="N12" s="12">
        <f t="shared" si="6"/>
        <v>4566.6893224858341</v>
      </c>
      <c r="O12" s="1"/>
      <c r="P12" s="59">
        <v>12060</v>
      </c>
    </row>
    <row r="13" spans="1:20" x14ac:dyDescent="0.4">
      <c r="A13">
        <f t="shared" si="7"/>
        <v>11</v>
      </c>
      <c r="B13" s="1">
        <f t="shared" si="1"/>
        <v>134702.22992756934</v>
      </c>
      <c r="C13" s="10">
        <f t="shared" si="0"/>
        <v>11265.06208698642</v>
      </c>
      <c r="D13" s="11">
        <f t="shared" si="8"/>
        <v>37403.444140926746</v>
      </c>
      <c r="E13" s="11">
        <f t="shared" si="9"/>
        <v>11265.06208698642</v>
      </c>
      <c r="F13" s="11">
        <f t="shared" si="2"/>
        <v>8138.1205338450463</v>
      </c>
      <c r="G13" s="10">
        <f t="shared" si="3"/>
        <v>11265.06208698642</v>
      </c>
      <c r="H13" s="11">
        <f t="shared" si="4"/>
        <v>37403.444140926746</v>
      </c>
      <c r="I13" s="11">
        <f t="shared" si="10"/>
        <v>11265.06208698642</v>
      </c>
      <c r="J13" s="11">
        <f t="shared" si="5"/>
        <v>8138.1205338450463</v>
      </c>
      <c r="K13" s="10">
        <f t="shared" si="11"/>
        <v>16897.593130479629</v>
      </c>
      <c r="L13" s="11">
        <f t="shared" si="12"/>
        <v>-24611.439708447419</v>
      </c>
      <c r="M13" s="11">
        <f>IF(AND(SUM($K$3:K13)&gt;=$S$10,SUM($M$3:M12)&lt;$S$10),$S$10-SUM($M$3:M12),IF(AND(SUM($K$3:K12)&gt;=$S$10,SUM($M$3:M12)&gt;=$S$10),0,K13))</f>
        <v>0</v>
      </c>
      <c r="N13" s="12">
        <f t="shared" si="6"/>
        <v>0</v>
      </c>
      <c r="O13" s="1"/>
      <c r="P13" s="56"/>
    </row>
    <row r="14" spans="1:20" x14ac:dyDescent="0.4">
      <c r="A14">
        <f t="shared" si="7"/>
        <v>12</v>
      </c>
      <c r="B14" s="1">
        <f t="shared" si="1"/>
        <v>140090.31912467213</v>
      </c>
      <c r="C14" s="10">
        <f t="shared" si="0"/>
        <v>11759.767788581288</v>
      </c>
      <c r="D14" s="11">
        <f t="shared" si="8"/>
        <v>27308.129616616694</v>
      </c>
      <c r="E14" s="11">
        <f t="shared" si="9"/>
        <v>11759.767788581288</v>
      </c>
      <c r="F14" s="11">
        <f t="shared" si="2"/>
        <v>8248.0645226523302</v>
      </c>
      <c r="G14" s="10">
        <f t="shared" si="3"/>
        <v>11759.767788581288</v>
      </c>
      <c r="H14" s="11">
        <f t="shared" si="4"/>
        <v>27308.129616616694</v>
      </c>
      <c r="I14" s="11">
        <f t="shared" si="10"/>
        <v>11759.767788581288</v>
      </c>
      <c r="J14" s="11">
        <f t="shared" si="5"/>
        <v>8248.0645226523302</v>
      </c>
      <c r="K14" s="10">
        <f t="shared" si="11"/>
        <v>17639.651682871929</v>
      </c>
      <c r="L14" s="11">
        <f t="shared" si="12"/>
        <v>-43346.300458345257</v>
      </c>
      <c r="M14" s="11">
        <f>IF(AND(SUM($K$3:K14)&gt;=$S$10,SUM($M$3:M13)&lt;$S$10),$S$10-SUM($M$3:M13),IF(AND(SUM($K$3:K13)&gt;=$S$10,SUM($M$3:M13)&gt;=$S$10),0,K14))</f>
        <v>0</v>
      </c>
      <c r="N14" s="12">
        <f t="shared" si="6"/>
        <v>0</v>
      </c>
      <c r="O14" s="1"/>
      <c r="P14" s="57" t="s">
        <v>10</v>
      </c>
    </row>
    <row r="15" spans="1:20" x14ac:dyDescent="0.4">
      <c r="A15">
        <f t="shared" si="7"/>
        <v>13</v>
      </c>
      <c r="B15" s="1">
        <f t="shared" si="1"/>
        <v>145693.93188965903</v>
      </c>
      <c r="C15" s="10">
        <f t="shared" si="0"/>
        <v>12275.143782602259</v>
      </c>
      <c r="D15" s="11">
        <f t="shared" si="8"/>
        <v>16248.197601953878</v>
      </c>
      <c r="E15" s="11">
        <f t="shared" si="9"/>
        <v>12275.143782602259</v>
      </c>
      <c r="F15" s="11">
        <f t="shared" si="2"/>
        <v>8358.7756073719356</v>
      </c>
      <c r="G15" s="10">
        <f t="shared" si="3"/>
        <v>12275.143782602259</v>
      </c>
      <c r="H15" s="11">
        <f t="shared" si="4"/>
        <v>16248.197601953878</v>
      </c>
      <c r="I15" s="11">
        <f t="shared" si="10"/>
        <v>12275.143782602259</v>
      </c>
      <c r="J15" s="11">
        <f t="shared" si="5"/>
        <v>8358.7756073719356</v>
      </c>
      <c r="K15" s="10">
        <f t="shared" si="11"/>
        <v>18412.715673903385</v>
      </c>
      <c r="L15" s="11">
        <f t="shared" si="12"/>
        <v>-63687.926502645001</v>
      </c>
      <c r="M15" s="11">
        <f>IF(AND(SUM($K$3:K15)&gt;=$S$10,SUM($M$3:M14)&lt;$S$10),$S$10-SUM($M$3:M14),IF(AND(SUM($K$3:K14)&gt;=$S$10,SUM($M$3:M14)&gt;=$S$10),0,K15))</f>
        <v>0</v>
      </c>
      <c r="N15" s="12">
        <f t="shared" si="6"/>
        <v>0</v>
      </c>
      <c r="O15" s="1"/>
      <c r="P15" s="56">
        <v>0.03</v>
      </c>
    </row>
    <row r="16" spans="1:20" x14ac:dyDescent="0.4">
      <c r="A16">
        <f t="shared" si="7"/>
        <v>14</v>
      </c>
      <c r="B16" s="1">
        <f t="shared" si="1"/>
        <v>151521.68916524539</v>
      </c>
      <c r="C16" s="10">
        <f t="shared" si="0"/>
        <v>12412.32203208642</v>
      </c>
      <c r="D16" s="11">
        <f t="shared" si="8"/>
        <v>4558.9203631544042</v>
      </c>
      <c r="E16" s="11">
        <f>MAX(IF(D16&gt;0,C16,C16+D16),0)</f>
        <v>12412.32203208642</v>
      </c>
      <c r="F16" s="11">
        <f t="shared" si="2"/>
        <v>8206.0071069670794</v>
      </c>
      <c r="G16" s="10">
        <f t="shared" si="3"/>
        <v>12812.034522033624</v>
      </c>
      <c r="H16" s="11">
        <f t="shared" si="4"/>
        <v>4159.2078732072005</v>
      </c>
      <c r="I16" s="11">
        <f>MAX(IF(H16&gt;0,G16,G16+H16),0)</f>
        <v>12812.034522033624</v>
      </c>
      <c r="J16" s="11">
        <f t="shared" si="5"/>
        <v>8470.2641512792725</v>
      </c>
      <c r="K16" s="10">
        <f t="shared" si="11"/>
        <v>19218.051783050432</v>
      </c>
      <c r="L16" s="11">
        <f t="shared" si="12"/>
        <v>-85740.091015063139</v>
      </c>
      <c r="M16" s="11">
        <f>IF(AND(SUM($K$3:K16)&gt;=$S$10,SUM($M$3:M15)&lt;$S$10),$S$10-SUM($M$3:M15),IF(AND(SUM($K$3:K15)&gt;=$S$10,SUM($M$3:M15)&gt;=$S$10),0,K16))</f>
        <v>0</v>
      </c>
      <c r="N16" s="12">
        <f t="shared" si="6"/>
        <v>0</v>
      </c>
      <c r="O16" s="1"/>
      <c r="P16" s="56"/>
      <c r="Q16" s="67"/>
    </row>
    <row r="17" spans="1:20" x14ac:dyDescent="0.4">
      <c r="A17">
        <f t="shared" si="7"/>
        <v>15</v>
      </c>
      <c r="B17" s="1">
        <f t="shared" si="1"/>
        <v>157582.55673185521</v>
      </c>
      <c r="C17" s="10">
        <f t="shared" si="0"/>
        <v>12412.32203208642</v>
      </c>
      <c r="D17" s="11">
        <f t="shared" si="8"/>
        <v>-7650.5297127716449</v>
      </c>
      <c r="E17" s="11">
        <f t="shared" si="9"/>
        <v>4761.7923193147753</v>
      </c>
      <c r="F17" s="11">
        <f t="shared" si="2"/>
        <v>3056.4132911741144</v>
      </c>
      <c r="G17" s="10">
        <f t="shared" si="3"/>
        <v>13371.318590804787</v>
      </c>
      <c r="H17" s="11">
        <f t="shared" si="4"/>
        <v>-9027.0259672398661</v>
      </c>
      <c r="I17" s="11">
        <f t="shared" si="10"/>
        <v>4344.2926235649211</v>
      </c>
      <c r="J17" s="11">
        <f t="shared" si="5"/>
        <v>2788.4361234225762</v>
      </c>
      <c r="K17" s="10">
        <f t="shared" si="11"/>
        <v>20056.97788620718</v>
      </c>
      <c r="L17" s="11">
        <f t="shared" si="12"/>
        <v>-109612.50295144063</v>
      </c>
      <c r="M17" s="11">
        <f>IF(AND(SUM($K$3:K17)&gt;=$S$10,SUM($M$3:M16)&lt;$S$10),$S$10-SUM($M$3:M16),IF(AND(SUM($K$3:K16)&gt;=$S$10,SUM($M$3:M16)&gt;=$S$10),0,K17))</f>
        <v>0</v>
      </c>
      <c r="N17" s="12">
        <f t="shared" si="6"/>
        <v>0</v>
      </c>
      <c r="O17" s="1"/>
      <c r="P17" s="57" t="s">
        <v>13</v>
      </c>
    </row>
    <row r="18" spans="1:20" x14ac:dyDescent="0.4">
      <c r="A18">
        <f t="shared" si="7"/>
        <v>16</v>
      </c>
      <c r="B18" s="1">
        <f t="shared" si="1"/>
        <v>163885.85900112943</v>
      </c>
      <c r="C18" s="10">
        <f t="shared" si="0"/>
        <v>12412.32203208642</v>
      </c>
      <c r="D18" s="11">
        <f t="shared" si="8"/>
        <v>-20403.300317076402</v>
      </c>
      <c r="E18" s="11">
        <f t="shared" si="9"/>
        <v>0</v>
      </c>
      <c r="F18" s="11">
        <f t="shared" si="2"/>
        <v>0</v>
      </c>
      <c r="G18" s="10">
        <f t="shared" si="3"/>
        <v>13953.910076084594</v>
      </c>
      <c r="H18" s="11">
        <f t="shared" si="4"/>
        <v>-23382.638698866635</v>
      </c>
      <c r="I18" s="11">
        <f t="shared" si="10"/>
        <v>0</v>
      </c>
      <c r="J18" s="11">
        <f t="shared" si="5"/>
        <v>0</v>
      </c>
      <c r="K18" s="10">
        <f t="shared" si="11"/>
        <v>20930.865114126889</v>
      </c>
      <c r="L18" s="11">
        <f t="shared" si="12"/>
        <v>-135421.12444690662</v>
      </c>
      <c r="M18" s="11">
        <f>IF(AND(SUM($K$3:K18)&gt;=$S$10,SUM($M$3:M17)&lt;$S$10),$S$10-SUM($M$3:M17),IF(AND(SUM($K$3:K17)&gt;=$S$10,SUM($M$3:M17)&gt;=$S$10),0,K18))</f>
        <v>0</v>
      </c>
      <c r="N18" s="12">
        <f t="shared" si="6"/>
        <v>0</v>
      </c>
      <c r="O18" s="1"/>
      <c r="P18" s="56">
        <v>0.02</v>
      </c>
    </row>
    <row r="19" spans="1:20" x14ac:dyDescent="0.4">
      <c r="A19">
        <f t="shared" si="7"/>
        <v>17</v>
      </c>
      <c r="B19" s="1">
        <f t="shared" si="1"/>
        <v>170441.29336117461</v>
      </c>
      <c r="C19" s="10">
        <f t="shared" si="0"/>
        <v>12412.32203208642</v>
      </c>
      <c r="D19" s="11">
        <f t="shared" si="8"/>
        <v>-33723.569213272727</v>
      </c>
      <c r="E19" s="11">
        <f t="shared" si="9"/>
        <v>0</v>
      </c>
      <c r="F19" s="11">
        <f t="shared" si="2"/>
        <v>0</v>
      </c>
      <c r="G19" s="10">
        <f t="shared" si="3"/>
        <v>14560.759995608545</v>
      </c>
      <c r="H19" s="11">
        <f t="shared" si="4"/>
        <v>-38983.926116574745</v>
      </c>
      <c r="I19" s="11">
        <f t="shared" si="10"/>
        <v>0</v>
      </c>
      <c r="J19" s="11">
        <f t="shared" si="5"/>
        <v>0</v>
      </c>
      <c r="K19" s="10">
        <f t="shared" si="11"/>
        <v>21841.139993412817</v>
      </c>
      <c r="L19" s="11">
        <f t="shared" si="12"/>
        <v>-163288.50447820677</v>
      </c>
      <c r="M19" s="11">
        <f>IF(AND(SUM($K$3:K19)&gt;=$S$10,SUM($M$3:M18)&lt;$S$10),$S$10-SUM($M$3:M18),IF(AND(SUM($K$3:K18)&gt;=$S$10,SUM($M$3:M18)&gt;=$S$10),0,K19))</f>
        <v>0</v>
      </c>
      <c r="N19" s="12">
        <f t="shared" si="6"/>
        <v>0</v>
      </c>
      <c r="O19" s="1"/>
      <c r="P19" s="56"/>
    </row>
    <row r="20" spans="1:20" x14ac:dyDescent="0.4">
      <c r="A20">
        <f t="shared" si="7"/>
        <v>18</v>
      </c>
      <c r="B20" s="1">
        <f t="shared" si="1"/>
        <v>177258.9450956216</v>
      </c>
      <c r="C20" s="10">
        <f t="shared" si="0"/>
        <v>12412.32203208642</v>
      </c>
      <c r="D20" s="11">
        <f t="shared" si="8"/>
        <v>-47636.590075349784</v>
      </c>
      <c r="E20" s="11">
        <f t="shared" si="9"/>
        <v>0</v>
      </c>
      <c r="F20" s="11">
        <f t="shared" si="2"/>
        <v>0</v>
      </c>
      <c r="G20" s="10">
        <f t="shared" si="3"/>
        <v>15192.857782243065</v>
      </c>
      <c r="H20" s="11">
        <f t="shared" si="4"/>
        <v>-55911.568611005387</v>
      </c>
      <c r="I20" s="11">
        <f t="shared" si="10"/>
        <v>0</v>
      </c>
      <c r="J20" s="11">
        <f t="shared" si="5"/>
        <v>0</v>
      </c>
      <c r="K20" s="10">
        <f t="shared" si="11"/>
        <v>22789.286673364597</v>
      </c>
      <c r="L20" s="11">
        <f t="shared" si="12"/>
        <v>-193344.12960085156</v>
      </c>
      <c r="M20" s="11">
        <f>IF(AND(SUM($K$3:K20)&gt;=$S$10,SUM($M$3:M19)&lt;$S$10),$S$10-SUM($M$3:M19),IF(AND(SUM($K$3:K19)&gt;=$S$10,SUM($M$3:M19)&gt;=$S$10),0,K20))</f>
        <v>0</v>
      </c>
      <c r="N20" s="12">
        <f>M20/(1+$P$15)^A20</f>
        <v>0</v>
      </c>
      <c r="O20" s="1"/>
      <c r="P20" s="57" t="s">
        <v>52</v>
      </c>
    </row>
    <row r="21" spans="1:20" ht="20.25" thickBot="1" x14ac:dyDescent="0.45">
      <c r="A21">
        <f t="shared" si="7"/>
        <v>19</v>
      </c>
      <c r="B21" s="1">
        <f t="shared" si="1"/>
        <v>184349.30289944648</v>
      </c>
      <c r="C21" s="10">
        <f t="shared" si="0"/>
        <v>12412.32203208642</v>
      </c>
      <c r="D21" s="11">
        <f t="shared" si="8"/>
        <v>-62168.740365789272</v>
      </c>
      <c r="E21" s="11">
        <f t="shared" si="9"/>
        <v>0</v>
      </c>
      <c r="F21" s="11">
        <f t="shared" si="2"/>
        <v>0</v>
      </c>
      <c r="G21" s="10">
        <f t="shared" si="3"/>
        <v>15851.23282807917</v>
      </c>
      <c r="H21" s="11">
        <f t="shared" si="4"/>
        <v>-74250.866242274293</v>
      </c>
      <c r="I21" s="11">
        <f t="shared" si="10"/>
        <v>0</v>
      </c>
      <c r="J21" s="11">
        <f t="shared" si="5"/>
        <v>0</v>
      </c>
      <c r="K21" s="10">
        <f t="shared" si="11"/>
        <v>23776.849242118755</v>
      </c>
      <c r="L21" s="11">
        <f t="shared" si="12"/>
        <v>-225724.79261020821</v>
      </c>
      <c r="M21" s="11">
        <f>IF(AND(SUM($K$3:K21)&gt;=$S$10,SUM($M$3:M20)&lt;$S$10),$S$10-SUM($M$3:M20),IF(AND(SUM($K$3:K20)&gt;=$S$10,SUM($M$3:M20)&gt;=$S$10),0,K21))</f>
        <v>0</v>
      </c>
      <c r="N21" s="12">
        <f t="shared" si="6"/>
        <v>0</v>
      </c>
      <c r="O21" s="1"/>
      <c r="P21" s="60">
        <v>0</v>
      </c>
    </row>
    <row r="22" spans="1:20" x14ac:dyDescent="0.4">
      <c r="A22">
        <f t="shared" si="7"/>
        <v>20</v>
      </c>
      <c r="B22" s="1">
        <f t="shared" si="1"/>
        <v>191723.27501542435</v>
      </c>
      <c r="C22" s="10">
        <f t="shared" si="0"/>
        <v>12412.32203208642</v>
      </c>
      <c r="D22" s="11">
        <f t="shared" si="8"/>
        <v>-77347.571344153315</v>
      </c>
      <c r="E22" s="11">
        <f>MAX(IF(D22&gt;0,C22,C22+D22),0)</f>
        <v>0</v>
      </c>
      <c r="F22" s="11">
        <f t="shared" si="2"/>
        <v>0</v>
      </c>
      <c r="G22" s="10">
        <f t="shared" si="3"/>
        <v>16536.956090439649</v>
      </c>
      <c r="H22" s="11">
        <f t="shared" si="4"/>
        <v>-94091.985880495151</v>
      </c>
      <c r="I22" s="11">
        <f t="shared" si="10"/>
        <v>0</v>
      </c>
      <c r="J22" s="11">
        <f t="shared" si="5"/>
        <v>0</v>
      </c>
      <c r="K22" s="10">
        <f t="shared" si="11"/>
        <v>24805.434135659474</v>
      </c>
      <c r="L22" s="11">
        <f t="shared" si="12"/>
        <v>-260574.98001702197</v>
      </c>
      <c r="M22" s="11">
        <f>IF(AND(SUM($K$3:K22)&gt;=$S$10,SUM($M$3:M21)&lt;$S$10),$S$10-SUM($M$3:M21),IF(AND(SUM($K$3:K21)&gt;=$S$10,SUM($M$3:M21)&gt;=$S$10),0,K22))</f>
        <v>0</v>
      </c>
      <c r="N22" s="12">
        <f t="shared" si="6"/>
        <v>0</v>
      </c>
      <c r="O22" s="1"/>
    </row>
    <row r="23" spans="1:20" x14ac:dyDescent="0.4">
      <c r="A23">
        <f t="shared" si="7"/>
        <v>21</v>
      </c>
      <c r="B23" s="1">
        <f t="shared" si="1"/>
        <v>199392.20601604134</v>
      </c>
      <c r="C23" s="10"/>
      <c r="D23" s="11"/>
      <c r="E23" s="11"/>
      <c r="F23" s="11"/>
      <c r="G23" s="10" t="str">
        <f>IF($P$21=0,"",MAX(0,0.1*($B23-1.5*$P$12*(1+$P$18)^(A23-1))))</f>
        <v/>
      </c>
      <c r="H23" s="11" t="str">
        <f>IF(G23="","",H22*(1+$S$5)-G23)</f>
        <v/>
      </c>
      <c r="I23" s="11">
        <f t="shared" si="10"/>
        <v>0</v>
      </c>
      <c r="J23" s="11">
        <f t="shared" si="5"/>
        <v>0</v>
      </c>
      <c r="K23" s="10">
        <f t="shared" si="11"/>
        <v>25876.712643418938</v>
      </c>
      <c r="L23" s="11">
        <f t="shared" si="12"/>
        <v>-298047.27927119838</v>
      </c>
      <c r="M23" s="11">
        <f>IF(AND(SUM($K$3:K23)&gt;=$S$10,SUM($M$3:M22)&lt;$S$10),$S$10-SUM($M$3:M22),IF(AND(SUM($K$3:K22)&gt;=$S$10,SUM($M$3:M22)&gt;=$S$10),0,K23))</f>
        <v>0</v>
      </c>
      <c r="N23" s="12">
        <f t="shared" si="6"/>
        <v>0</v>
      </c>
      <c r="O23" s="1"/>
    </row>
    <row r="24" spans="1:20" x14ac:dyDescent="0.4">
      <c r="A24">
        <f t="shared" si="7"/>
        <v>22</v>
      </c>
      <c r="B24" s="1">
        <f t="shared" si="1"/>
        <v>207367.89425668301</v>
      </c>
      <c r="C24" s="10"/>
      <c r="D24" s="11"/>
      <c r="E24" s="11"/>
      <c r="F24" s="11"/>
      <c r="G24" s="10" t="str">
        <f>IF($P$21=0,"",MAX(0,0.1*($B24-1.5*$P$12*(1+$P$18)^(A24-1))))</f>
        <v/>
      </c>
      <c r="H24" s="11" t="str">
        <f t="shared" ref="H24:H27" si="13">IF(G24="","",H23*(1+$S$5)-G24)</f>
        <v/>
      </c>
      <c r="I24" s="11">
        <f t="shared" si="10"/>
        <v>0</v>
      </c>
      <c r="J24" s="11">
        <f t="shared" si="5"/>
        <v>0</v>
      </c>
      <c r="K24" s="10">
        <f t="shared" si="11"/>
        <v>26992.423514335442</v>
      </c>
      <c r="L24" s="11">
        <f t="shared" si="12"/>
        <v>-338302.80671310209</v>
      </c>
      <c r="M24" s="11">
        <f>IF(AND(SUM($K$3:K24)&gt;=$S$10,SUM($M$3:M23)&lt;$S$10),$S$10-SUM($M$3:M23),IF(AND(SUM($K$3:K23)&gt;=$S$10,SUM($M$3:M23)&gt;=$S$10),0,K24))</f>
        <v>0</v>
      </c>
      <c r="N24" s="12">
        <f t="shared" si="6"/>
        <v>0</v>
      </c>
      <c r="O24" s="1"/>
      <c r="P24" s="31" t="s">
        <v>29</v>
      </c>
      <c r="Q24" s="32">
        <f>F63</f>
        <v>111503.15831844814</v>
      </c>
      <c r="R24" s="32">
        <f>J63</f>
        <v>111499.4381950088</v>
      </c>
      <c r="S24" s="32">
        <f>N63</f>
        <v>105766.95518362618</v>
      </c>
      <c r="T24" s="33">
        <f>S11</f>
        <v>105879.62460907869</v>
      </c>
    </row>
    <row r="25" spans="1:20" x14ac:dyDescent="0.4">
      <c r="A25">
        <f t="shared" si="7"/>
        <v>23</v>
      </c>
      <c r="B25" s="1">
        <f t="shared" si="1"/>
        <v>215662.61002695034</v>
      </c>
      <c r="C25" s="10"/>
      <c r="D25" s="11"/>
      <c r="E25" s="11"/>
      <c r="F25" s="11"/>
      <c r="G25" s="10" t="str">
        <f>IF($P$21=0,"",MAX(0,0.1*($B25-1.5*$P$12*(1+$P$18)^(A25-1))))</f>
        <v/>
      </c>
      <c r="H25" s="11" t="str">
        <f t="shared" si="13"/>
        <v/>
      </c>
      <c r="I25" s="11">
        <f t="shared" si="10"/>
        <v>0</v>
      </c>
      <c r="J25" s="11">
        <f t="shared" si="5"/>
        <v>0</v>
      </c>
      <c r="K25" s="10">
        <f t="shared" si="11"/>
        <v>28154.3756673922</v>
      </c>
      <c r="L25" s="11">
        <f t="shared" si="12"/>
        <v>-381511.65727922734</v>
      </c>
      <c r="M25" s="11">
        <f>IF(AND(SUM($K$3:K25)&gt;=$S$10,SUM($M$3:M24)&lt;$S$10),$S$10-SUM($M$3:M24),IF(AND(SUM($K$3:K24)&gt;=$S$10,SUM($M$3:M24)&gt;=$S$10),0,K25))</f>
        <v>0</v>
      </c>
      <c r="N25" s="12">
        <f t="shared" si="6"/>
        <v>0</v>
      </c>
      <c r="O25" s="1"/>
      <c r="P25" s="31" t="s">
        <v>43</v>
      </c>
      <c r="Q25" s="32">
        <f>E63</f>
        <v>141921.61753996866</v>
      </c>
      <c r="R25" s="32">
        <f>I63</f>
        <v>141903.83033416601</v>
      </c>
      <c r="S25" s="32">
        <f>M63</f>
        <v>124123.2203208642</v>
      </c>
      <c r="T25" s="33">
        <f>S10</f>
        <v>124123.2203208642</v>
      </c>
    </row>
    <row r="26" spans="1:20" x14ac:dyDescent="0.4">
      <c r="A26">
        <f t="shared" si="7"/>
        <v>24</v>
      </c>
      <c r="B26" s="1">
        <f t="shared" si="1"/>
        <v>224289.11442802835</v>
      </c>
      <c r="C26" s="10"/>
      <c r="D26" s="11"/>
      <c r="E26" s="11"/>
      <c r="F26" s="11"/>
      <c r="G26" s="10" t="str">
        <f>IF($P$21=0,"",MAX(0,0.1*($B26-1.5*$P$12*(1+$P$18)^(A26-1))))</f>
        <v/>
      </c>
      <c r="H26" s="11" t="str">
        <f t="shared" si="13"/>
        <v/>
      </c>
      <c r="I26" s="11">
        <f t="shared" si="10"/>
        <v>0</v>
      </c>
      <c r="J26" s="11">
        <f t="shared" si="5"/>
        <v>0</v>
      </c>
      <c r="K26" s="10">
        <f t="shared" si="11"/>
        <v>29364.451010820896</v>
      </c>
      <c r="L26" s="11">
        <f t="shared" si="12"/>
        <v>-427853.37703897385</v>
      </c>
      <c r="M26" s="11">
        <f>IF(AND(SUM($K$3:K26)&gt;=$S$10,SUM($M$3:M25)&lt;$S$10),$S$10-SUM($M$3:M25),IF(AND(SUM($K$3:K25)&gt;=$S$10,SUM($M$3:M25)&gt;=$S$10),0,K26))</f>
        <v>0</v>
      </c>
      <c r="N26" s="12">
        <f t="shared" si="6"/>
        <v>0</v>
      </c>
      <c r="O26" s="1"/>
    </row>
    <row r="27" spans="1:20" x14ac:dyDescent="0.4">
      <c r="A27">
        <f t="shared" si="7"/>
        <v>25</v>
      </c>
      <c r="B27" s="1">
        <f t="shared" si="1"/>
        <v>233260.67900514949</v>
      </c>
      <c r="C27" s="10"/>
      <c r="D27" s="11"/>
      <c r="E27" s="11"/>
      <c r="F27" s="11"/>
      <c r="G27" s="10" t="str">
        <f>IF($P$21=0,"",MAX(0,0.1*($B27-1.5*$P$12*(1+$P$18)^(A27-1))))</f>
        <v/>
      </c>
      <c r="H27" s="11" t="str">
        <f t="shared" si="13"/>
        <v/>
      </c>
      <c r="I27" s="11">
        <f t="shared" si="10"/>
        <v>0</v>
      </c>
      <c r="J27" s="11">
        <f t="shared" si="5"/>
        <v>0</v>
      </c>
      <c r="K27" s="10">
        <f t="shared" si="11"/>
        <v>30624.6073743214</v>
      </c>
      <c r="L27" s="11">
        <f t="shared" si="12"/>
        <v>-477517.45969152957</v>
      </c>
      <c r="M27" s="11">
        <f>IF(AND(SUM($K$3:K27)&gt;=$S$10,SUM($M$3:M26)&lt;$S$10),$S$10-SUM($M$3:M26),IF(AND(SUM($K$3:K26)&gt;=$S$10,SUM($M$3:M26)&gt;=$S$10),0,K27))</f>
        <v>0</v>
      </c>
      <c r="N27" s="12">
        <f t="shared" si="6"/>
        <v>0</v>
      </c>
      <c r="O27" s="1"/>
    </row>
    <row r="28" spans="1:20" x14ac:dyDescent="0.4">
      <c r="A28">
        <f t="shared" si="7"/>
        <v>26</v>
      </c>
      <c r="B28" s="1">
        <f t="shared" si="1"/>
        <v>242591.10616535548</v>
      </c>
      <c r="C28" s="10"/>
      <c r="D28" s="11"/>
      <c r="E28" s="11"/>
      <c r="F28" s="11"/>
      <c r="G28" s="10" t="str">
        <f>IF(P26=0,"",MAX(0,0.1*($B28-1.5*$P$12*(1+$P$18)^(A28-1))))</f>
        <v/>
      </c>
      <c r="H28" s="11"/>
      <c r="I28" s="11"/>
      <c r="J28" s="11"/>
      <c r="K28" s="10">
        <f t="shared" si="11"/>
        <v>31936.881558823279</v>
      </c>
      <c r="L28" s="11">
        <f t="shared" si="12"/>
        <v>-530703.86820662592</v>
      </c>
      <c r="M28" s="11">
        <f>IF(AND(SUM($K$3:K28)&gt;=$S$10,SUM($M$3:M27)&lt;$S$10),$S$10-SUM($M$3:M27),IF(AND(SUM($K$3:K27)&gt;=$S$10,SUM($M$3:M27)&gt;=$S$10),0,K28))</f>
        <v>0</v>
      </c>
      <c r="N28" s="12">
        <f t="shared" si="6"/>
        <v>0</v>
      </c>
      <c r="O28" s="1"/>
    </row>
    <row r="29" spans="1:20" x14ac:dyDescent="0.4">
      <c r="A29">
        <f t="shared" si="7"/>
        <v>27</v>
      </c>
      <c r="B29" s="1">
        <f t="shared" si="1"/>
        <v>252294.7504119697</v>
      </c>
      <c r="C29" s="10"/>
      <c r="D29" s="11"/>
      <c r="E29" s="11"/>
      <c r="F29" s="11"/>
      <c r="G29" s="10"/>
      <c r="H29" s="11"/>
      <c r="I29" s="11"/>
      <c r="J29" s="11"/>
      <c r="K29" s="10">
        <f t="shared" si="11"/>
        <v>33303.39250849581</v>
      </c>
      <c r="L29" s="11">
        <f t="shared" si="12"/>
        <v>-587623.58285031654</v>
      </c>
      <c r="M29" s="11">
        <f>IF(AND(SUM($K$3:K29)&gt;=$S$10,SUM($M$3:M28)&lt;$S$10),$S$10-SUM($M$3:M28),IF(AND(SUM($K$3:K28)&gt;=$S$10,SUM($M$3:M28)&gt;=$S$10),0,K29))</f>
        <v>0</v>
      </c>
      <c r="N29" s="12">
        <f t="shared" si="6"/>
        <v>0</v>
      </c>
      <c r="O29" s="1"/>
    </row>
    <row r="30" spans="1:20" x14ac:dyDescent="0.4">
      <c r="A30">
        <f t="shared" si="7"/>
        <v>28</v>
      </c>
      <c r="B30" s="1">
        <f t="shared" si="1"/>
        <v>262386.54042844847</v>
      </c>
      <c r="C30" s="10"/>
      <c r="D30" s="11"/>
      <c r="E30" s="11"/>
      <c r="F30" s="11"/>
      <c r="G30" s="10"/>
      <c r="H30" s="11"/>
      <c r="I30" s="11"/>
      <c r="J30" s="11"/>
      <c r="K30" s="10">
        <f t="shared" si="11"/>
        <v>34726.344609901636</v>
      </c>
      <c r="L30" s="11">
        <f t="shared" si="12"/>
        <v>-648499.17689705733</v>
      </c>
      <c r="M30" s="11">
        <f>IF(AND(SUM($K$3:K30)&gt;=$S$10,SUM($M$3:M29)&lt;$S$10),$S$10-SUM($M$3:M29),IF(AND(SUM($K$3:K29)&gt;=$S$10,SUM($M$3:M29)&gt;=$S$10),0,K30))</f>
        <v>0</v>
      </c>
      <c r="N30" s="12">
        <f t="shared" si="6"/>
        <v>0</v>
      </c>
      <c r="O30" s="1"/>
    </row>
    <row r="31" spans="1:20" x14ac:dyDescent="0.4">
      <c r="A31">
        <f t="shared" si="7"/>
        <v>29</v>
      </c>
      <c r="B31" s="1">
        <f t="shared" si="1"/>
        <v>272882.00204558641</v>
      </c>
      <c r="C31" s="13"/>
      <c r="D31" s="11"/>
      <c r="E31" s="26"/>
      <c r="F31" s="26"/>
      <c r="G31" s="10"/>
      <c r="H31" s="11"/>
      <c r="I31" s="11"/>
      <c r="J31" s="11"/>
      <c r="K31" s="10">
        <f t="shared" si="11"/>
        <v>36208.031123385015</v>
      </c>
      <c r="L31" s="11">
        <f t="shared" si="12"/>
        <v>-713565.4213923614</v>
      </c>
      <c r="M31" s="11">
        <f>IF(AND(SUM($K$3:K31)&gt;=$S$10,SUM($M$3:M30)&lt;$S$10),$S$10-SUM($M$3:M30),IF(AND(SUM($K$3:K30)&gt;=$S$10,SUM($M$3:M30)&gt;=$S$10),0,K31))</f>
        <v>0</v>
      </c>
      <c r="N31" s="12">
        <f t="shared" si="6"/>
        <v>0</v>
      </c>
    </row>
    <row r="32" spans="1:20" x14ac:dyDescent="0.4">
      <c r="A32">
        <f t="shared" si="7"/>
        <v>30</v>
      </c>
      <c r="B32" s="1">
        <f t="shared" si="1"/>
        <v>283797.28212740988</v>
      </c>
      <c r="C32" s="13"/>
      <c r="D32" s="11"/>
      <c r="E32" s="26"/>
      <c r="F32" s="26"/>
      <c r="G32" s="10"/>
      <c r="H32" s="11"/>
      <c r="I32" s="11"/>
      <c r="J32" s="11"/>
      <c r="K32" s="10">
        <f t="shared" si="11"/>
        <v>37750.837751989471</v>
      </c>
      <c r="L32" s="11">
        <f t="shared" si="12"/>
        <v>-783069.92039631098</v>
      </c>
      <c r="M32" s="11">
        <f>IF(AND(SUM($K$3:K32)&gt;=$S$10,SUM($M$3:M31)&lt;$S$10),$S$10-SUM($M$3:M31),IF(AND(SUM($K$3:K31)&gt;=$S$10,SUM($M$3:M31)&gt;=$S$10),0,K32))</f>
        <v>0</v>
      </c>
      <c r="N32" s="12">
        <f t="shared" si="6"/>
        <v>0</v>
      </c>
    </row>
    <row r="33" spans="1:14" x14ac:dyDescent="0.4">
      <c r="A33">
        <f t="shared" si="7"/>
        <v>31</v>
      </c>
      <c r="B33" s="1">
        <f t="shared" si="1"/>
        <v>295149.17341250629</v>
      </c>
      <c r="C33" s="13"/>
      <c r="D33" s="11"/>
      <c r="E33" s="26"/>
      <c r="F33" s="26"/>
      <c r="G33" s="10"/>
      <c r="H33" s="11"/>
      <c r="I33" s="11"/>
      <c r="J33" s="11"/>
      <c r="K33" s="10">
        <f t="shared" si="11"/>
        <v>39357.246353411494</v>
      </c>
      <c r="L33" s="11">
        <f t="shared" si="12"/>
        <v>-857273.77820735832</v>
      </c>
      <c r="M33" s="11">
        <f>IF(AND(SUM($K$3:K33)&gt;=$S$10,SUM($M$3:M32)&lt;$S$10),$S$10-SUM($M$3:M32),IF(AND(SUM($K$3:K32)&gt;=$S$10,SUM($M$3:M32)&gt;=$S$10),0,K33))</f>
        <v>0</v>
      </c>
      <c r="N33" s="12">
        <f t="shared" si="6"/>
        <v>0</v>
      </c>
    </row>
    <row r="34" spans="1:14" x14ac:dyDescent="0.4">
      <c r="A34">
        <f t="shared" si="7"/>
        <v>32</v>
      </c>
      <c r="B34" s="1">
        <f t="shared" si="1"/>
        <v>306955.14034900657</v>
      </c>
      <c r="C34" s="13"/>
      <c r="D34" s="11"/>
      <c r="E34" s="26"/>
      <c r="F34" s="26"/>
      <c r="G34" s="10"/>
      <c r="H34" s="11"/>
      <c r="I34" s="11"/>
      <c r="J34" s="11"/>
      <c r="K34" s="10">
        <f t="shared" si="11"/>
        <v>41029.838800717247</v>
      </c>
      <c r="L34" s="11">
        <f t="shared" si="12"/>
        <v>-936452.30013830296</v>
      </c>
      <c r="M34" s="11">
        <f>IF(AND(SUM($K$3:K34)&gt;=$S$10,SUM($M$3:M33)&lt;$S$10),$S$10-SUM($M$3:M33),IF(AND(SUM($K$3:K33)&gt;=$S$10,SUM($M$3:M33)&gt;=$S$10),0,K34))</f>
        <v>0</v>
      </c>
      <c r="N34" s="12">
        <f t="shared" si="6"/>
        <v>0</v>
      </c>
    </row>
    <row r="35" spans="1:14" x14ac:dyDescent="0.4">
      <c r="A35">
        <f t="shared" si="7"/>
        <v>33</v>
      </c>
      <c r="B35" s="1">
        <f t="shared" si="1"/>
        <v>319233.34596296685</v>
      </c>
      <c r="C35" s="13"/>
      <c r="D35" s="11"/>
      <c r="E35" s="26"/>
      <c r="F35" s="26"/>
      <c r="G35" s="10"/>
      <c r="H35" s="11"/>
      <c r="I35" s="11"/>
      <c r="J35" s="11"/>
      <c r="K35" s="10">
        <f t="shared" si="11"/>
        <v>42771.300997778606</v>
      </c>
      <c r="L35" s="11">
        <f t="shared" si="12"/>
        <v>-1020895.7284922361</v>
      </c>
      <c r="M35" s="11">
        <f>IF(AND(SUM($K$3:K35)&gt;=$S$10,SUM($M$3:M34)&lt;$S$10),$S$10-SUM($M$3:M34),IF(AND(SUM($K$3:K34)&gt;=$S$10,SUM($M$3:M34)&gt;=$S$10),0,K35))</f>
        <v>0</v>
      </c>
      <c r="N35" s="12">
        <f t="shared" si="6"/>
        <v>0</v>
      </c>
    </row>
    <row r="36" spans="1:14" x14ac:dyDescent="0.4">
      <c r="A36">
        <f t="shared" si="7"/>
        <v>34</v>
      </c>
      <c r="B36" s="1">
        <f t="shared" si="1"/>
        <v>332002.67980148556</v>
      </c>
      <c r="C36" s="13"/>
      <c r="D36" s="11"/>
      <c r="E36" s="26"/>
      <c r="F36" s="26"/>
      <c r="G36" s="10"/>
      <c r="H36" s="11"/>
      <c r="I36" s="11"/>
      <c r="J36" s="11"/>
      <c r="K36" s="10">
        <f t="shared" si="11"/>
        <v>44584.427055623091</v>
      </c>
      <c r="L36" s="11">
        <f t="shared" si="12"/>
        <v>-1110910.0154657639</v>
      </c>
      <c r="M36" s="11">
        <f>IF(AND(SUM($K$3:K36)&gt;=$S$10,SUM($M$3:M35)&lt;$S$10),$S$10-SUM($M$3:M35),IF(AND(SUM($K$3:K35)&gt;=$S$10,SUM($M$3:M35)&gt;=$S$10),0,K36))</f>
        <v>0</v>
      </c>
      <c r="N36" s="12">
        <f t="shared" si="6"/>
        <v>0</v>
      </c>
    </row>
    <row r="37" spans="1:14" x14ac:dyDescent="0.4">
      <c r="A37">
        <f t="shared" si="7"/>
        <v>35</v>
      </c>
      <c r="B37" s="1">
        <f t="shared" si="1"/>
        <v>345282.78699354501</v>
      </c>
      <c r="C37" s="13"/>
      <c r="D37" s="11"/>
      <c r="E37" s="26"/>
      <c r="F37" s="26"/>
      <c r="G37" s="10"/>
      <c r="H37" s="11"/>
      <c r="I37" s="11"/>
      <c r="J37" s="11"/>
      <c r="K37" s="10">
        <f t="shared" si="11"/>
        <v>46472.123636140015</v>
      </c>
      <c r="L37" s="11">
        <f t="shared" si="12"/>
        <v>-1206817.6347901304</v>
      </c>
      <c r="M37" s="11">
        <f>IF(AND(SUM($K$3:K37)&gt;=$S$10,SUM($M$3:M36)&lt;$S$10),$S$10-SUM($M$3:M36),IF(AND(SUM($K$3:K36)&gt;=$S$10,SUM($M$3:M36)&gt;=$S$10),0,K37))</f>
        <v>0</v>
      </c>
      <c r="N37" s="12">
        <f t="shared" si="6"/>
        <v>0</v>
      </c>
    </row>
    <row r="38" spans="1:14" x14ac:dyDescent="0.4">
      <c r="A38">
        <f t="shared" si="7"/>
        <v>36</v>
      </c>
      <c r="B38" s="1">
        <f t="shared" si="1"/>
        <v>359094.09847328684</v>
      </c>
      <c r="C38" s="13"/>
      <c r="D38" s="11"/>
      <c r="E38" s="26"/>
      <c r="F38" s="26"/>
      <c r="G38" s="10"/>
      <c r="H38" s="11"/>
      <c r="I38" s="11"/>
      <c r="J38" s="11"/>
      <c r="K38" s="10">
        <f t="shared" si="11"/>
        <v>48437.414469843447</v>
      </c>
      <c r="L38" s="11">
        <f t="shared" si="12"/>
        <v>-1308958.4340081348</v>
      </c>
      <c r="M38" s="11">
        <f>IF(AND(SUM($K$3:K38)&gt;=$S$10,SUM($M$3:M37)&lt;$S$10),$S$10-SUM($M$3:M37),IF(AND(SUM($K$3:K37)&gt;=$S$10,SUM($M$3:M37)&gt;=$S$10),0,K38))</f>
        <v>0</v>
      </c>
      <c r="N38" s="12">
        <f t="shared" si="6"/>
        <v>0</v>
      </c>
    </row>
    <row r="39" spans="1:14" x14ac:dyDescent="0.4">
      <c r="A39">
        <f t="shared" si="7"/>
        <v>37</v>
      </c>
      <c r="B39" s="1">
        <f t="shared" si="1"/>
        <v>373457.8624122183</v>
      </c>
      <c r="C39" s="13"/>
      <c r="D39" s="11"/>
      <c r="E39" s="26"/>
      <c r="F39" s="26"/>
      <c r="G39" s="10"/>
      <c r="H39" s="11"/>
      <c r="I39" s="11"/>
      <c r="J39" s="11"/>
      <c r="K39" s="10">
        <f t="shared" si="11"/>
        <v>50483.44505466018</v>
      </c>
      <c r="L39" s="11">
        <f t="shared" si="12"/>
        <v>-1417690.5293761569</v>
      </c>
      <c r="M39" s="11">
        <f>IF(AND(SUM($K$3:K39)&gt;=$S$10,SUM($M$3:M38)&lt;$S$10),$S$10-SUM($M$3:M38),IF(AND(SUM($K$3:K38)&gt;=$S$10,SUM($M$3:M38)&gt;=$S$10),0,K39))</f>
        <v>0</v>
      </c>
      <c r="N39" s="12">
        <f t="shared" si="6"/>
        <v>0</v>
      </c>
    </row>
    <row r="40" spans="1:14" x14ac:dyDescent="0.4">
      <c r="A40">
        <f t="shared" si="7"/>
        <v>38</v>
      </c>
      <c r="B40" s="1">
        <f t="shared" si="1"/>
        <v>388396.17690870701</v>
      </c>
      <c r="C40" s="13"/>
      <c r="D40" s="11"/>
      <c r="E40" s="26"/>
      <c r="F40" s="26"/>
      <c r="G40" s="10"/>
      <c r="H40" s="11"/>
      <c r="I40" s="11"/>
      <c r="J40" s="11"/>
      <c r="K40" s="10">
        <f t="shared" si="11"/>
        <v>52613.487542990035</v>
      </c>
      <c r="L40" s="11">
        <f t="shared" si="12"/>
        <v>-1533391.245476386</v>
      </c>
      <c r="M40" s="11">
        <f>IF(AND(SUM($K$3:K40)&gt;=$S$10,SUM($M$3:M39)&lt;$S$10),$S$10-SUM($M$3:M39),IF(AND(SUM($K$3:K39)&gt;=$S$10,SUM($M$3:M39)&gt;=$S$10),0,K40))</f>
        <v>0</v>
      </c>
      <c r="N40" s="12">
        <f t="shared" si="6"/>
        <v>0</v>
      </c>
    </row>
    <row r="41" spans="1:14" x14ac:dyDescent="0.4">
      <c r="A41">
        <f t="shared" si="7"/>
        <v>39</v>
      </c>
      <c r="B41" s="1">
        <f t="shared" si="1"/>
        <v>403932.02398505533</v>
      </c>
      <c r="C41" s="13"/>
      <c r="D41" s="11"/>
      <c r="E41" s="26"/>
      <c r="F41" s="26"/>
      <c r="G41" s="10"/>
      <c r="H41" s="11"/>
      <c r="I41" s="11"/>
      <c r="J41" s="11"/>
      <c r="K41" s="10">
        <f t="shared" si="11"/>
        <v>54830.94582457596</v>
      </c>
      <c r="L41" s="11">
        <f t="shared" si="12"/>
        <v>-1656458.101724661</v>
      </c>
      <c r="M41" s="11">
        <f>IF(AND(SUM($K$3:K41)&gt;=$S$10,SUM($M$3:M40)&lt;$S$10),$S$10-SUM($M$3:M40),IF(AND(SUM($K$3:K40)&gt;=$S$10,SUM($M$3:M40)&gt;=$S$10),0,K41))</f>
        <v>0</v>
      </c>
      <c r="N41" s="12">
        <f t="shared" si="6"/>
        <v>0</v>
      </c>
    </row>
    <row r="42" spans="1:14" x14ac:dyDescent="0.4">
      <c r="A42">
        <f t="shared" si="7"/>
        <v>40</v>
      </c>
      <c r="B42" s="1">
        <f t="shared" si="1"/>
        <v>420089.30494445754</v>
      </c>
      <c r="C42" s="13"/>
      <c r="D42" s="11"/>
      <c r="E42" s="26"/>
      <c r="F42" s="26"/>
      <c r="G42" s="10"/>
      <c r="H42" s="11"/>
      <c r="I42" s="11"/>
      <c r="J42" s="11"/>
      <c r="K42" s="10">
        <f t="shared" si="11"/>
        <v>57139.360813022657</v>
      </c>
      <c r="L42" s="11">
        <f t="shared" si="12"/>
        <v>-1787309.848064431</v>
      </c>
      <c r="M42" s="11">
        <f>IF(AND(SUM($K$3:K42)&gt;=$S$10,SUM($M$3:M41)&lt;$S$10),$S$10-SUM($M$3:M41),IF(AND(SUM($K$3:K41)&gt;=$S$10,SUM($M$3:M41)&gt;=$S$10),0,K42))</f>
        <v>0</v>
      </c>
      <c r="N42" s="12">
        <f t="shared" si="6"/>
        <v>0</v>
      </c>
    </row>
    <row r="43" spans="1:14" x14ac:dyDescent="0.4">
      <c r="A43">
        <f t="shared" si="7"/>
        <v>41</v>
      </c>
      <c r="B43" s="1">
        <f t="shared" si="1"/>
        <v>436892.87714223587</v>
      </c>
      <c r="C43" s="13"/>
      <c r="D43" s="11"/>
      <c r="E43" s="26"/>
      <c r="F43" s="26"/>
      <c r="G43" s="10"/>
      <c r="H43" s="11"/>
      <c r="I43" s="11"/>
      <c r="J43" s="11"/>
      <c r="K43" s="10">
        <f t="shared" si="11"/>
        <v>59542.415944116481</v>
      </c>
      <c r="L43" s="11">
        <f t="shared" si="12"/>
        <v>-1926387.5522474146</v>
      </c>
      <c r="M43" s="11">
        <f>IF(AND(SUM($K$3:K43)&gt;=$S$10,SUM($M$3:M42)&lt;$S$10),$S$10-SUM($M$3:M42),IF(AND(SUM($K$3:K42)&gt;=$S$10,SUM($M$3:M42)&gt;=$S$10),0,K43))</f>
        <v>0</v>
      </c>
      <c r="N43" s="12">
        <f t="shared" si="6"/>
        <v>0</v>
      </c>
    </row>
    <row r="44" spans="1:14" x14ac:dyDescent="0.4">
      <c r="A44">
        <f t="shared" si="7"/>
        <v>42</v>
      </c>
      <c r="B44" s="1">
        <f t="shared" si="1"/>
        <v>454368.59222792531</v>
      </c>
      <c r="C44" s="13"/>
      <c r="D44" s="11"/>
      <c r="E44" s="26"/>
      <c r="F44" s="26"/>
      <c r="G44" s="10"/>
      <c r="H44" s="11"/>
      <c r="I44" s="11"/>
      <c r="J44" s="11"/>
      <c r="K44" s="10">
        <f t="shared" si="11"/>
        <v>62043.94289442552</v>
      </c>
      <c r="L44" s="11">
        <f t="shared" si="12"/>
        <v>-2074155.74121685</v>
      </c>
      <c r="M44" s="11">
        <f>IF(AND(SUM($K$3:K44)&gt;=$S$10,SUM($M$3:M43)&lt;$S$10),$S$10-SUM($M$3:M43),IF(AND(SUM($K$3:K43)&gt;=$S$10,SUM($M$3:M43)&gt;=$S$10),0,K44))</f>
        <v>0</v>
      </c>
      <c r="N44" s="12">
        <f t="shared" si="6"/>
        <v>0</v>
      </c>
    </row>
    <row r="45" spans="1:14" x14ac:dyDescent="0.4">
      <c r="A45">
        <f t="shared" si="7"/>
        <v>43</v>
      </c>
      <c r="B45" s="1">
        <f t="shared" si="1"/>
        <v>472543.33591704234</v>
      </c>
      <c r="C45" s="13"/>
      <c r="D45" s="11"/>
      <c r="E45" s="26"/>
      <c r="F45" s="26"/>
      <c r="G45" s="10"/>
      <c r="H45" s="11"/>
      <c r="I45" s="11"/>
      <c r="J45" s="11"/>
      <c r="K45" s="10">
        <f t="shared" si="11"/>
        <v>64647.927528997803</v>
      </c>
      <c r="L45" s="11">
        <f t="shared" si="12"/>
        <v>-2231103.5992299975</v>
      </c>
      <c r="M45" s="11">
        <f>IF(AND(SUM($K$3:K45)&gt;=$S$10,SUM($M$3:M44)&lt;$S$10),$S$10-SUM($M$3:M44),IF(AND(SUM($K$3:K44)&gt;=$S$10,SUM($M$3:M44)&gt;=$S$10),0,K45))</f>
        <v>0</v>
      </c>
      <c r="N45" s="12">
        <f t="shared" si="6"/>
        <v>0</v>
      </c>
    </row>
    <row r="46" spans="1:14" x14ac:dyDescent="0.4">
      <c r="A46">
        <f t="shared" si="7"/>
        <v>44</v>
      </c>
      <c r="B46" s="1">
        <f t="shared" si="1"/>
        <v>491445.06935372407</v>
      </c>
      <c r="C46" s="13"/>
      <c r="D46" s="11"/>
      <c r="E46" s="26"/>
      <c r="F46" s="26"/>
      <c r="G46" s="10"/>
      <c r="H46" s="11"/>
      <c r="I46" s="11"/>
      <c r="J46" s="11"/>
      <c r="K46" s="10">
        <f t="shared" si="11"/>
        <v>67358.516087328899</v>
      </c>
      <c r="L46" s="11">
        <f t="shared" si="12"/>
        <v>-2397746.2254830613</v>
      </c>
      <c r="M46" s="11">
        <f>IF(AND(SUM($K$3:K46)&gt;=$S$10,SUM($M$3:M45)&lt;$S$10),$S$10-SUM($M$3:M45),IF(AND(SUM($K$3:K45)&gt;=$S$10,SUM($M$3:M45)&gt;=$S$10),0,K46))</f>
        <v>0</v>
      </c>
      <c r="N46" s="12">
        <f t="shared" si="6"/>
        <v>0</v>
      </c>
    </row>
    <row r="47" spans="1:14" x14ac:dyDescent="0.4">
      <c r="A47">
        <f t="shared" si="7"/>
        <v>45</v>
      </c>
      <c r="B47" s="1">
        <f t="shared" si="1"/>
        <v>511102.87212787307</v>
      </c>
      <c r="C47" s="13"/>
      <c r="D47" s="11"/>
      <c r="E47" s="26"/>
      <c r="F47" s="26"/>
      <c r="G47" s="10"/>
      <c r="H47" s="11"/>
      <c r="I47" s="11"/>
      <c r="J47" s="11"/>
      <c r="K47" s="10">
        <f t="shared" si="11"/>
        <v>70180.021617136648</v>
      </c>
      <c r="L47" s="11">
        <f t="shared" si="12"/>
        <v>-2574625.9541341937</v>
      </c>
      <c r="M47" s="11">
        <f>IF(AND(SUM($K$3:K47)&gt;=$S$10,SUM($M$3:M46)&lt;$S$10),$S$10-SUM($M$3:M46),IF(AND(SUM($K$3:K46)&gt;=$S$10,SUM($M$3:M46)&gt;=$S$10),0,K47))</f>
        <v>0</v>
      </c>
      <c r="N47" s="12">
        <f t="shared" si="6"/>
        <v>0</v>
      </c>
    </row>
    <row r="48" spans="1:14" x14ac:dyDescent="0.4">
      <c r="A48">
        <f t="shared" si="7"/>
        <v>46</v>
      </c>
      <c r="B48" s="1">
        <f t="shared" si="1"/>
        <v>531546.98701298796</v>
      </c>
      <c r="C48" s="13"/>
      <c r="D48" s="11"/>
      <c r="E48" s="26"/>
      <c r="F48" s="26"/>
      <c r="G48" s="10"/>
      <c r="H48" s="11"/>
      <c r="I48" s="11"/>
      <c r="J48" s="11"/>
      <c r="K48" s="10">
        <f t="shared" si="11"/>
        <v>73116.930665862994</v>
      </c>
      <c r="L48" s="11">
        <f t="shared" si="12"/>
        <v>-2762313.7397590284</v>
      </c>
      <c r="M48" s="11">
        <f>IF(AND(SUM($K$3:K48)&gt;=$S$10,SUM($M$3:M47)&lt;$S$10),$S$10-SUM($M$3:M47),IF(AND(SUM($K$3:K47)&gt;=$S$10,SUM($M$3:M47)&gt;=$S$10),0,K48))</f>
        <v>0</v>
      </c>
      <c r="N48" s="12">
        <f t="shared" si="6"/>
        <v>0</v>
      </c>
    </row>
    <row r="49" spans="1:14" x14ac:dyDescent="0.4">
      <c r="A49">
        <f t="shared" si="7"/>
        <v>47</v>
      </c>
      <c r="B49" s="1">
        <f t="shared" si="1"/>
        <v>552808.86649350752</v>
      </c>
      <c r="C49" s="13"/>
      <c r="D49" s="11"/>
      <c r="E49" s="26"/>
      <c r="F49" s="26"/>
      <c r="G49" s="10"/>
      <c r="H49" s="11"/>
      <c r="I49" s="11"/>
      <c r="J49" s="11"/>
      <c r="K49" s="10">
        <f t="shared" si="11"/>
        <v>76173.910240219222</v>
      </c>
      <c r="L49" s="11">
        <f t="shared" si="12"/>
        <v>-2961410.6114185248</v>
      </c>
      <c r="M49" s="11">
        <f>IF(AND(SUM($K$3:K49)&gt;=$S$10,SUM($M$3:M48)&lt;$S$10),$S$10-SUM($M$3:M48),IF(AND(SUM($K$3:K48)&gt;=$S$10,SUM($M$3:M48)&gt;=$S$10),0,K49))</f>
        <v>0</v>
      </c>
      <c r="N49" s="12">
        <f t="shared" si="6"/>
        <v>0</v>
      </c>
    </row>
    <row r="50" spans="1:14" x14ac:dyDescent="0.4">
      <c r="A50">
        <f t="shared" si="7"/>
        <v>48</v>
      </c>
      <c r="B50" s="1">
        <f t="shared" si="1"/>
        <v>574921.22115324787</v>
      </c>
      <c r="C50" s="13"/>
      <c r="D50" s="11"/>
      <c r="E50" s="26"/>
      <c r="F50" s="26"/>
      <c r="G50" s="10"/>
      <c r="H50" s="11"/>
      <c r="I50" s="11"/>
      <c r="J50" s="11"/>
      <c r="K50" s="10">
        <f t="shared" si="11"/>
        <v>79355.815044504139</v>
      </c>
      <c r="L50" s="11">
        <f t="shared" si="12"/>
        <v>-3172549.1986711533</v>
      </c>
      <c r="M50" s="11">
        <f>IF(AND(SUM($K$3:K50)&gt;=$S$10,SUM($M$3:M49)&lt;$S$10),$S$10-SUM($M$3:M49),IF(AND(SUM($K$3:K49)&gt;=$S$10,SUM($M$3:M49)&gt;=$S$10),0,K50))</f>
        <v>0</v>
      </c>
      <c r="N50" s="12">
        <f t="shared" si="6"/>
        <v>0</v>
      </c>
    </row>
    <row r="51" spans="1:14" x14ac:dyDescent="0.4">
      <c r="A51">
        <f t="shared" si="7"/>
        <v>49</v>
      </c>
      <c r="B51" s="1">
        <f t="shared" si="1"/>
        <v>597918.06999937783</v>
      </c>
      <c r="C51" s="13"/>
      <c r="D51" s="11"/>
      <c r="E51" s="26"/>
      <c r="F51" s="26"/>
      <c r="G51" s="10"/>
      <c r="H51" s="11"/>
      <c r="I51" s="11"/>
      <c r="J51" s="12"/>
      <c r="K51" s="11">
        <f t="shared" si="11"/>
        <v>82667.695008853974</v>
      </c>
      <c r="L51" s="11">
        <f t="shared" si="12"/>
        <v>-3396395.3330208734</v>
      </c>
      <c r="M51" s="11">
        <f>IF(AND(SUM($K$3:K51)&gt;=$S$10,SUM($M$3:M50)&lt;$S$10),$S$10-SUM($M$3:M50),IF(AND(SUM($K$3:K50)&gt;=$S$10,SUM($M$3:M50)&gt;=$S$10),0,K51))</f>
        <v>0</v>
      </c>
      <c r="N51" s="12">
        <f t="shared" si="6"/>
        <v>0</v>
      </c>
    </row>
    <row r="52" spans="1:14" x14ac:dyDescent="0.4">
      <c r="A52">
        <f t="shared" si="7"/>
        <v>50</v>
      </c>
      <c r="B52" s="1">
        <f t="shared" si="1"/>
        <v>621834.79279935302</v>
      </c>
      <c r="C52" s="13"/>
      <c r="D52" s="11"/>
      <c r="E52" s="26"/>
      <c r="F52" s="26"/>
      <c r="G52" s="10"/>
      <c r="H52" s="11"/>
      <c r="I52" s="11"/>
      <c r="J52" s="12"/>
      <c r="K52" s="11">
        <f t="shared" si="11"/>
        <v>86114.803119029195</v>
      </c>
      <c r="L52" s="11">
        <f t="shared" si="12"/>
        <v>-3633649.7284593317</v>
      </c>
      <c r="M52" s="11">
        <f>IF(AND(SUM($K$3:K52)&gt;=$S$10,SUM($M$3:M51)&lt;$S$10),$S$10-SUM($M$3:M51),IF(AND(SUM($K$3:K51)&gt;=$S$10,SUM($M$3:M51)&gt;=$S$10),0,K52))</f>
        <v>0</v>
      </c>
      <c r="N52" s="12">
        <f t="shared" si="6"/>
        <v>0</v>
      </c>
    </row>
    <row r="53" spans="1:14" x14ac:dyDescent="0.4">
      <c r="A53">
        <f t="shared" si="7"/>
        <v>51</v>
      </c>
      <c r="B53" s="1">
        <f t="shared" si="1"/>
        <v>646708.18451132718</v>
      </c>
      <c r="C53" s="13"/>
      <c r="D53" s="11"/>
      <c r="E53" s="26"/>
      <c r="F53" s="26"/>
      <c r="G53" s="10"/>
      <c r="H53" s="11"/>
      <c r="I53" s="11"/>
      <c r="J53" s="12"/>
      <c r="K53" s="11">
        <f t="shared" ref="K53:K62" si="14">MAX(25*12,0.15*($B53-1.5*$P$12*(1+$P$18)^(A53-1)))</f>
        <v>89702.603559807845</v>
      </c>
      <c r="L53" s="11">
        <f t="shared" ref="L53:L62" si="15">L52*(1+$S$5)-K53</f>
        <v>-3885049.7449355796</v>
      </c>
      <c r="M53" s="11">
        <f>IF(AND(SUM($K$3:K53)&gt;=$S$10,SUM($M$3:M52)&lt;$S$10),$S$10-SUM($M$3:M52),IF(AND(SUM($K$3:K52)&gt;=$S$10,SUM($M$3:M52)&gt;=$S$10),0,K53))</f>
        <v>0</v>
      </c>
      <c r="N53" s="12">
        <f t="shared" si="6"/>
        <v>0</v>
      </c>
    </row>
    <row r="54" spans="1:14" x14ac:dyDescent="0.4">
      <c r="A54">
        <f t="shared" si="7"/>
        <v>52</v>
      </c>
      <c r="B54" s="1">
        <f t="shared" si="1"/>
        <v>672576.5118917803</v>
      </c>
      <c r="C54" s="13"/>
      <c r="D54" s="11"/>
      <c r="E54" s="26"/>
      <c r="F54" s="26"/>
      <c r="G54" s="10"/>
      <c r="H54" s="11"/>
      <c r="I54" s="11"/>
      <c r="J54" s="12"/>
      <c r="K54" s="11">
        <f t="shared" si="14"/>
        <v>93436.780184537987</v>
      </c>
      <c r="L54" s="11">
        <f t="shared" si="15"/>
        <v>-4151371.238769751</v>
      </c>
      <c r="M54" s="11">
        <f>IF(AND(SUM($K$3:K54)&gt;=$S$10,SUM($M$3:M53)&lt;$S$10),$S$10-SUM($M$3:M53),IF(AND(SUM($K$3:K53)&gt;=$S$10,SUM($M$3:M53)&gt;=$S$10),0,K54))</f>
        <v>0</v>
      </c>
      <c r="N54" s="12">
        <f t="shared" si="6"/>
        <v>0</v>
      </c>
    </row>
    <row r="55" spans="1:14" x14ac:dyDescent="0.4">
      <c r="A55">
        <f t="shared" si="7"/>
        <v>53</v>
      </c>
      <c r="B55" s="1">
        <f t="shared" si="1"/>
        <v>699479.5723674515</v>
      </c>
      <c r="C55" s="13"/>
      <c r="D55" s="11"/>
      <c r="E55" s="26"/>
      <c r="F55" s="26"/>
      <c r="G55" s="10"/>
      <c r="H55" s="11"/>
      <c r="I55" s="11"/>
      <c r="J55" s="12"/>
      <c r="K55" s="11">
        <f t="shared" si="14"/>
        <v>97323.245323904091</v>
      </c>
      <c r="L55" s="11">
        <f t="shared" si="15"/>
        <v>-4433430.504218909</v>
      </c>
      <c r="M55" s="11">
        <f>IF(AND(SUM($K$3:K55)&gt;=$S$10,SUM($M$3:M54)&lt;$S$10),$S$10-SUM($M$3:M54),IF(AND(SUM($K$3:K54)&gt;=$S$10,SUM($M$3:M54)&gt;=$S$10),0,K55))</f>
        <v>0</v>
      </c>
      <c r="N55" s="12">
        <f t="shared" si="6"/>
        <v>0</v>
      </c>
    </row>
    <row r="56" spans="1:14" x14ac:dyDescent="0.4">
      <c r="A56">
        <f t="shared" si="7"/>
        <v>54</v>
      </c>
      <c r="B56" s="1">
        <f t="shared" si="1"/>
        <v>727458.75526214961</v>
      </c>
      <c r="C56" s="13"/>
      <c r="D56" s="11"/>
      <c r="E56" s="26"/>
      <c r="F56" s="26"/>
      <c r="G56" s="10"/>
      <c r="H56" s="11"/>
      <c r="I56" s="11"/>
      <c r="J56" s="12"/>
      <c r="K56" s="11">
        <f t="shared" si="14"/>
        <v>101368.14894748453</v>
      </c>
      <c r="L56" s="11">
        <f t="shared" si="15"/>
        <v>-4732086.3106041355</v>
      </c>
      <c r="M56" s="11">
        <f>IF(AND(SUM($K$3:K56)&gt;=$S$10,SUM($M$3:M55)&lt;$S$10),$S$10-SUM($M$3:M55),IF(AND(SUM($K$3:K55)&gt;=$S$10,SUM($M$3:M55)&gt;=$S$10),0,K56))</f>
        <v>0</v>
      </c>
      <c r="N56" s="12">
        <f t="shared" si="6"/>
        <v>0</v>
      </c>
    </row>
    <row r="57" spans="1:14" x14ac:dyDescent="0.4">
      <c r="A57">
        <f t="shared" si="7"/>
        <v>55</v>
      </c>
      <c r="B57" s="1">
        <f t="shared" si="1"/>
        <v>756557.10547263559</v>
      </c>
      <c r="C57" s="13"/>
      <c r="D57" s="11"/>
      <c r="E57" s="26"/>
      <c r="F57" s="26"/>
      <c r="G57" s="10"/>
      <c r="H57" s="11"/>
      <c r="I57" s="11"/>
      <c r="J57" s="12"/>
      <c r="K57" s="11">
        <f t="shared" si="14"/>
        <v>105577.88819222068</v>
      </c>
      <c r="L57" s="11">
        <f t="shared" si="15"/>
        <v>-5048242.0396182397</v>
      </c>
      <c r="M57" s="11">
        <f>IF(AND(SUM($K$3:K57)&gt;=$S$10,SUM($M$3:M56)&lt;$S$10),$S$10-SUM($M$3:M56),IF(AND(SUM($K$3:K56)&gt;=$S$10,SUM($M$3:M56)&gt;=$S$10),0,K57))</f>
        <v>0</v>
      </c>
      <c r="N57" s="12">
        <f t="shared" si="6"/>
        <v>0</v>
      </c>
    </row>
    <row r="58" spans="1:14" x14ac:dyDescent="0.4">
      <c r="A58">
        <f t="shared" si="7"/>
        <v>56</v>
      </c>
      <c r="B58" s="1">
        <f t="shared" si="1"/>
        <v>786819.38969154109</v>
      </c>
      <c r="C58" s="13"/>
      <c r="D58" s="11"/>
      <c r="E58" s="26"/>
      <c r="F58" s="26"/>
      <c r="G58" s="10"/>
      <c r="H58" s="11"/>
      <c r="I58" s="11"/>
      <c r="J58" s="12"/>
      <c r="K58" s="11">
        <f t="shared" si="14"/>
        <v>109959.11727248301</v>
      </c>
      <c r="L58" s="11">
        <f t="shared" si="15"/>
        <v>-5382847.9276537346</v>
      </c>
      <c r="M58" s="11">
        <f>IF(AND(SUM($K$3:K58)&gt;=$S$10,SUM($M$3:M57)&lt;$S$10),$S$10-SUM($M$3:M57),IF(AND(SUM($K$3:K57)&gt;=$S$10,SUM($M$3:M57)&gt;=$S$10),0,K58))</f>
        <v>0</v>
      </c>
      <c r="N58" s="12">
        <f t="shared" si="6"/>
        <v>0</v>
      </c>
    </row>
    <row r="59" spans="1:14" x14ac:dyDescent="0.4">
      <c r="A59">
        <f t="shared" si="7"/>
        <v>57</v>
      </c>
      <c r="B59" s="1">
        <f t="shared" si="1"/>
        <v>818292.16527920275</v>
      </c>
      <c r="C59" s="13"/>
      <c r="D59" s="11"/>
      <c r="E59" s="26"/>
      <c r="F59" s="26"/>
      <c r="G59" s="10"/>
      <c r="H59" s="11"/>
      <c r="I59" s="11"/>
      <c r="J59" s="12"/>
      <c r="K59" s="11">
        <f t="shared" si="14"/>
        <v>114518.75778700729</v>
      </c>
      <c r="L59" s="11">
        <f t="shared" si="15"/>
        <v>-5736903.4182213321</v>
      </c>
      <c r="M59" s="11">
        <f>IF(AND(SUM($K$3:K59)&gt;=$S$10,SUM($M$3:M58)&lt;$S$10),$S$10-SUM($M$3:M58),IF(AND(SUM($K$3:K58)&gt;=$S$10,SUM($M$3:M58)&gt;=$S$10),0,K59))</f>
        <v>0</v>
      </c>
      <c r="N59" s="12">
        <f t="shared" si="6"/>
        <v>0</v>
      </c>
    </row>
    <row r="60" spans="1:14" x14ac:dyDescent="0.4">
      <c r="A60">
        <f t="shared" si="7"/>
        <v>58</v>
      </c>
      <c r="B60" s="1">
        <f t="shared" si="1"/>
        <v>851023.85189037083</v>
      </c>
      <c r="C60" s="13"/>
      <c r="D60" s="11"/>
      <c r="E60" s="26"/>
      <c r="F60" s="26"/>
      <c r="G60" s="10"/>
      <c r="H60" s="11"/>
      <c r="I60" s="11"/>
      <c r="J60" s="12"/>
      <c r="K60" s="11">
        <f t="shared" si="14"/>
        <v>119264.00943858502</v>
      </c>
      <c r="L60" s="11">
        <f t="shared" si="15"/>
        <v>-6111459.6297707669</v>
      </c>
      <c r="M60" s="11">
        <f>IF(AND(SUM($K$3:K60)&gt;=$S$10,SUM($M$3:M59)&lt;$S$10),$S$10-SUM($M$3:M59),IF(AND(SUM($K$3:K59)&gt;=$S$10,SUM($M$3:M59)&gt;=$S$10),0,K60))</f>
        <v>0</v>
      </c>
      <c r="N60" s="12">
        <f t="shared" si="6"/>
        <v>0</v>
      </c>
    </row>
    <row r="61" spans="1:14" x14ac:dyDescent="0.4">
      <c r="A61">
        <f t="shared" si="7"/>
        <v>59</v>
      </c>
      <c r="B61" s="1">
        <f t="shared" si="1"/>
        <v>885064.80596598564</v>
      </c>
      <c r="C61" s="13"/>
      <c r="D61" s="11"/>
      <c r="E61" s="26"/>
      <c r="F61" s="26"/>
      <c r="G61" s="10"/>
      <c r="H61" s="11"/>
      <c r="I61" s="11"/>
      <c r="J61" s="12"/>
      <c r="K61" s="11">
        <f t="shared" si="14"/>
        <v>124202.36118302784</v>
      </c>
      <c r="L61" s="11">
        <f t="shared" si="15"/>
        <v>-6507621.9444785938</v>
      </c>
      <c r="M61" s="11">
        <f>IF(AND(SUM($K$3:K61)&gt;=$S$10,SUM($M$3:M60)&lt;$S$10),$S$10-SUM($M$3:M60),IF(AND(SUM($K$3:K60)&gt;=$S$10,SUM($M$3:M60)&gt;=$S$10),0,K61))</f>
        <v>0</v>
      </c>
      <c r="N61" s="12">
        <f t="shared" si="6"/>
        <v>0</v>
      </c>
    </row>
    <row r="62" spans="1:14" x14ac:dyDescent="0.4">
      <c r="A62">
        <f t="shared" si="7"/>
        <v>60</v>
      </c>
      <c r="B62" s="1">
        <f t="shared" si="1"/>
        <v>920467.39820462512</v>
      </c>
      <c r="C62" s="15"/>
      <c r="D62" s="16"/>
      <c r="E62" s="27"/>
      <c r="F62" s="27"/>
      <c r="G62" s="23"/>
      <c r="H62" s="16"/>
      <c r="I62" s="16"/>
      <c r="J62" s="20"/>
      <c r="K62" s="16">
        <f t="shared" si="14"/>
        <v>129341.60282458639</v>
      </c>
      <c r="L62" s="16">
        <f t="shared" si="15"/>
        <v>-6926552.7238324778</v>
      </c>
      <c r="M62" s="11">
        <f>IF(AND(SUM($K$3:K62)&gt;=$S$10,SUM($M$3:M61)&lt;$S$10),$S$10-SUM($M$3:M61),IF(AND(SUM($K$3:K61)&gt;=$S$10,SUM($M$3:M61)&gt;=$S$10),0,K62))</f>
        <v>0</v>
      </c>
      <c r="N62" s="12">
        <f t="shared" si="6"/>
        <v>0</v>
      </c>
    </row>
    <row r="63" spans="1:14" x14ac:dyDescent="0.4">
      <c r="A63" s="54" t="s">
        <v>44</v>
      </c>
      <c r="B63" s="54"/>
      <c r="C63" s="54"/>
      <c r="D63" s="1" t="s">
        <v>4</v>
      </c>
      <c r="E63" s="1">
        <f>SUM(E3:E22)</f>
        <v>141921.61753996866</v>
      </c>
      <c r="F63" s="1">
        <f>SUM(F3:F22)</f>
        <v>111503.15831844814</v>
      </c>
      <c r="H63" s="1" t="s">
        <v>4</v>
      </c>
      <c r="I63" s="1">
        <f>SUM(I3:I27)</f>
        <v>141903.83033416601</v>
      </c>
      <c r="J63" s="1">
        <f>SUM(J3:J27)</f>
        <v>111499.4381950088</v>
      </c>
      <c r="L63" s="1" t="s">
        <v>4</v>
      </c>
      <c r="M63" s="1">
        <f>SUM(M3:M42)</f>
        <v>124123.2203208642</v>
      </c>
      <c r="N63" s="1">
        <f>SUM(N3:N42)</f>
        <v>105766.95518362618</v>
      </c>
    </row>
    <row r="65" spans="3:14" ht="197.25" customHeight="1" x14ac:dyDescent="0.4">
      <c r="C65" s="45" t="s">
        <v>24</v>
      </c>
      <c r="D65" s="45"/>
      <c r="E65" s="45"/>
      <c r="F65" s="22"/>
      <c r="G65" s="45" t="s">
        <v>26</v>
      </c>
      <c r="H65" s="46"/>
      <c r="I65" s="46"/>
      <c r="J65" s="6"/>
      <c r="K65" s="47" t="s">
        <v>35</v>
      </c>
      <c r="L65" s="47"/>
      <c r="M65" s="47"/>
      <c r="N65" s="30"/>
    </row>
  </sheetData>
  <mergeCells count="7">
    <mergeCell ref="C65:E65"/>
    <mergeCell ref="G65:I65"/>
    <mergeCell ref="K65:M65"/>
    <mergeCell ref="C1:F1"/>
    <mergeCell ref="G1:J1"/>
    <mergeCell ref="K1:N1"/>
    <mergeCell ref="A63:C63"/>
  </mergeCells>
  <pageMargins left="0.75" right="0.75" top="1" bottom="1" header="0.5" footer="0.5"/>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34"/>
  <sheetViews>
    <sheetView zoomScale="60" zoomScaleNormal="60" workbookViewId="0">
      <selection activeCell="G18" sqref="G18"/>
    </sheetView>
  </sheetViews>
  <sheetFormatPr defaultRowHeight="19.5" x14ac:dyDescent="0.4"/>
  <cols>
    <col min="1" max="1" width="16.375" customWidth="1"/>
    <col min="2" max="2" width="11.875" customWidth="1"/>
    <col min="3" max="3" width="20.25" customWidth="1"/>
    <col min="5" max="6" width="17.875" customWidth="1"/>
    <col min="7" max="8" width="18.5" customWidth="1"/>
    <col min="9" max="9" width="8.875" customWidth="1"/>
    <col min="10" max="10" width="19.5" customWidth="1"/>
    <col min="11" max="11" width="16.625" customWidth="1"/>
  </cols>
  <sheetData>
    <row r="1" spans="1:11" x14ac:dyDescent="0.4">
      <c r="A1" t="s">
        <v>22</v>
      </c>
      <c r="B1" t="s">
        <v>45</v>
      </c>
      <c r="C1" t="s">
        <v>47</v>
      </c>
      <c r="D1" t="s">
        <v>48</v>
      </c>
      <c r="E1" t="s">
        <v>46</v>
      </c>
      <c r="F1" t="s">
        <v>51</v>
      </c>
      <c r="G1" t="s">
        <v>49</v>
      </c>
      <c r="H1" t="s">
        <v>50</v>
      </c>
      <c r="J1" s="3" t="s">
        <v>32</v>
      </c>
      <c r="K1" s="3"/>
    </row>
    <row r="2" spans="1:11" x14ac:dyDescent="0.4">
      <c r="A2" s="2">
        <v>5000</v>
      </c>
      <c r="B2" s="34">
        <v>0</v>
      </c>
      <c r="C2" s="34">
        <v>0</v>
      </c>
      <c r="D2" s="34">
        <v>6934.431592261938</v>
      </c>
      <c r="E2" s="35">
        <v>158819.43691361806</v>
      </c>
      <c r="F2" s="44">
        <f>IF(G2&lt;&gt;"",C2, IF(H2&lt;&gt;"", D2, ""))</f>
        <v>0</v>
      </c>
      <c r="G2" s="1">
        <f>IF(AND(D2-C2&gt;0, D2&lt;E2), D2-C2, "")</f>
        <v>6934.431592261938</v>
      </c>
      <c r="H2" s="1" t="str">
        <f>IF(AND(E2-D2&gt;0,D2&lt;C2,C2&gt;E2),E2-D2,IF(AND(E2-D2&gt;0,D2&lt;C2),C2-D2,""))</f>
        <v/>
      </c>
      <c r="I2" s="1"/>
      <c r="J2" s="3" t="s">
        <v>31</v>
      </c>
      <c r="K2" s="36">
        <f>Sheet1!P9</f>
        <v>100000</v>
      </c>
    </row>
    <row r="3" spans="1:11" x14ac:dyDescent="0.4">
      <c r="A3" s="2">
        <v>5500</v>
      </c>
      <c r="B3" s="34">
        <v>0</v>
      </c>
      <c r="C3" s="34">
        <v>0</v>
      </c>
      <c r="D3" s="34">
        <v>6934.431592261938</v>
      </c>
      <c r="E3" s="35">
        <v>158819.43691361806</v>
      </c>
      <c r="F3" s="44">
        <f t="shared" ref="F3:F66" si="0">IF(G3&lt;&gt;"",C3, IF(H3&lt;&gt;"", D3, ""))</f>
        <v>0</v>
      </c>
      <c r="G3" s="1">
        <f t="shared" ref="G3:G63" si="1">IF(AND(D3-C3&gt;0, D3&lt;E3), D3-C3, "")</f>
        <v>6934.431592261938</v>
      </c>
      <c r="H3" s="1" t="str">
        <f t="shared" ref="H3:H63" si="2">IF(AND(E3-D3&gt;0,D3&lt;C3,C3&gt;E3),E3-D3,IF(AND(E3-D3&gt;0,D3&lt;C3),C3-D3,""))</f>
        <v/>
      </c>
      <c r="I3" s="1"/>
      <c r="J3" s="3" t="s">
        <v>30</v>
      </c>
    </row>
    <row r="4" spans="1:11" x14ac:dyDescent="0.4">
      <c r="A4" s="2">
        <v>6000</v>
      </c>
      <c r="B4" s="34">
        <v>0</v>
      </c>
      <c r="C4" s="34">
        <v>0</v>
      </c>
      <c r="D4" s="34">
        <v>6934.431592261938</v>
      </c>
      <c r="E4" s="35">
        <v>158819.43691361806</v>
      </c>
      <c r="F4" s="44">
        <f t="shared" si="0"/>
        <v>0</v>
      </c>
      <c r="G4" s="1">
        <f t="shared" si="1"/>
        <v>6934.431592261938</v>
      </c>
      <c r="H4" s="1" t="str">
        <f t="shared" si="2"/>
        <v/>
      </c>
      <c r="I4" s="1"/>
    </row>
    <row r="5" spans="1:11" x14ac:dyDescent="0.4">
      <c r="A5" s="2">
        <v>6500</v>
      </c>
      <c r="B5" s="34">
        <v>0</v>
      </c>
      <c r="C5" s="34">
        <v>0</v>
      </c>
      <c r="D5" s="34">
        <v>6934.431592261938</v>
      </c>
      <c r="E5" s="35">
        <v>158819.43691361806</v>
      </c>
      <c r="F5" s="44">
        <f t="shared" si="0"/>
        <v>0</v>
      </c>
      <c r="G5" s="1">
        <f t="shared" si="1"/>
        <v>6934.431592261938</v>
      </c>
      <c r="H5" s="1" t="str">
        <f t="shared" si="2"/>
        <v/>
      </c>
      <c r="I5" s="1"/>
    </row>
    <row r="6" spans="1:11" x14ac:dyDescent="0.4">
      <c r="A6" s="2">
        <v>7000</v>
      </c>
      <c r="B6" s="34">
        <v>0</v>
      </c>
      <c r="C6" s="34">
        <v>0</v>
      </c>
      <c r="D6" s="34">
        <v>6934.431592261938</v>
      </c>
      <c r="E6" s="35">
        <v>158819.43691361806</v>
      </c>
      <c r="F6" s="44">
        <f t="shared" si="0"/>
        <v>0</v>
      </c>
      <c r="G6" s="1">
        <f t="shared" si="1"/>
        <v>6934.431592261938</v>
      </c>
      <c r="H6" s="1" t="str">
        <f t="shared" si="2"/>
        <v/>
      </c>
      <c r="I6" s="1"/>
    </row>
    <row r="7" spans="1:11" x14ac:dyDescent="0.4">
      <c r="A7" s="2">
        <v>7500</v>
      </c>
      <c r="B7" s="34">
        <v>0</v>
      </c>
      <c r="C7" s="34">
        <v>0</v>
      </c>
      <c r="D7" s="34">
        <v>6934.431592261938</v>
      </c>
      <c r="E7" s="35">
        <v>158819.43691361806</v>
      </c>
      <c r="F7" s="44">
        <f t="shared" si="0"/>
        <v>0</v>
      </c>
      <c r="G7" s="1">
        <f t="shared" si="1"/>
        <v>6934.431592261938</v>
      </c>
      <c r="H7" s="1" t="str">
        <f t="shared" si="2"/>
        <v/>
      </c>
      <c r="I7" s="1"/>
    </row>
    <row r="8" spans="1:11" x14ac:dyDescent="0.4">
      <c r="A8" s="2">
        <v>8000</v>
      </c>
      <c r="B8" s="34">
        <v>0</v>
      </c>
      <c r="C8" s="34">
        <v>0</v>
      </c>
      <c r="D8" s="34">
        <v>6934.431592261938</v>
      </c>
      <c r="E8" s="35">
        <v>158819.43691361806</v>
      </c>
      <c r="F8" s="44">
        <f t="shared" si="0"/>
        <v>0</v>
      </c>
      <c r="G8" s="1">
        <f t="shared" si="1"/>
        <v>6934.431592261938</v>
      </c>
      <c r="H8" s="1" t="str">
        <f t="shared" si="2"/>
        <v/>
      </c>
      <c r="I8" s="1"/>
    </row>
    <row r="9" spans="1:11" x14ac:dyDescent="0.4">
      <c r="A9" s="2">
        <v>8500</v>
      </c>
      <c r="B9" s="34">
        <v>0</v>
      </c>
      <c r="C9" s="34">
        <v>0</v>
      </c>
      <c r="D9" s="34">
        <v>6934.431592261938</v>
      </c>
      <c r="E9" s="35">
        <v>158819.43691361806</v>
      </c>
      <c r="F9" s="44">
        <f t="shared" si="0"/>
        <v>0</v>
      </c>
      <c r="G9" s="1">
        <f t="shared" si="1"/>
        <v>6934.431592261938</v>
      </c>
      <c r="H9" s="1" t="str">
        <f t="shared" si="2"/>
        <v/>
      </c>
      <c r="I9" s="1"/>
    </row>
    <row r="10" spans="1:11" x14ac:dyDescent="0.4">
      <c r="A10" s="2">
        <v>9000</v>
      </c>
      <c r="B10" s="34">
        <v>0</v>
      </c>
      <c r="C10" s="34">
        <v>0</v>
      </c>
      <c r="D10" s="34">
        <v>6952.2300236097526</v>
      </c>
      <c r="E10" s="35">
        <v>158819.43691361806</v>
      </c>
      <c r="F10" s="44">
        <f t="shared" si="0"/>
        <v>0</v>
      </c>
      <c r="G10" s="1">
        <f t="shared" si="1"/>
        <v>6952.2300236097526</v>
      </c>
      <c r="H10" s="1" t="str">
        <f t="shared" si="2"/>
        <v/>
      </c>
      <c r="I10" s="1"/>
    </row>
    <row r="11" spans="1:11" x14ac:dyDescent="0.4">
      <c r="A11" s="2">
        <v>9500</v>
      </c>
      <c r="B11" s="34">
        <v>0</v>
      </c>
      <c r="C11" s="34">
        <v>0</v>
      </c>
      <c r="D11" s="34">
        <v>7191.0721980932485</v>
      </c>
      <c r="E11" s="35">
        <v>158819.43691361806</v>
      </c>
      <c r="F11" s="44">
        <f t="shared" si="0"/>
        <v>0</v>
      </c>
      <c r="G11" s="1">
        <f t="shared" si="1"/>
        <v>7191.0721980932485</v>
      </c>
      <c r="H11" s="1" t="str">
        <f t="shared" si="2"/>
        <v/>
      </c>
      <c r="I11" s="1"/>
    </row>
    <row r="12" spans="1:11" x14ac:dyDescent="0.4">
      <c r="A12" s="2">
        <v>10000</v>
      </c>
      <c r="B12" s="34">
        <v>0</v>
      </c>
      <c r="C12" s="34">
        <v>0</v>
      </c>
      <c r="D12" s="34">
        <v>7701.2334745977087</v>
      </c>
      <c r="E12" s="35">
        <v>158819.43691361806</v>
      </c>
      <c r="F12" s="44">
        <f t="shared" si="0"/>
        <v>0</v>
      </c>
      <c r="G12" s="1">
        <f t="shared" si="1"/>
        <v>7701.2334745977087</v>
      </c>
      <c r="H12" s="1" t="str">
        <f t="shared" si="2"/>
        <v/>
      </c>
      <c r="I12" s="1"/>
    </row>
    <row r="13" spans="1:11" x14ac:dyDescent="0.4">
      <c r="A13" s="2">
        <v>10500</v>
      </c>
      <c r="B13" s="34">
        <v>0</v>
      </c>
      <c r="C13" s="34">
        <v>0</v>
      </c>
      <c r="D13" s="34">
        <v>8449.2583345788862</v>
      </c>
      <c r="E13" s="35">
        <v>158819.43691361806</v>
      </c>
      <c r="F13" s="44">
        <f t="shared" si="0"/>
        <v>0</v>
      </c>
      <c r="G13" s="1">
        <f t="shared" si="1"/>
        <v>8449.2583345788862</v>
      </c>
      <c r="H13" s="1" t="str">
        <f t="shared" si="2"/>
        <v/>
      </c>
      <c r="I13" s="1"/>
    </row>
    <row r="14" spans="1:11" x14ac:dyDescent="0.4">
      <c r="A14" s="2">
        <v>11000</v>
      </c>
      <c r="B14" s="34">
        <v>0</v>
      </c>
      <c r="C14" s="34">
        <v>0</v>
      </c>
      <c r="D14" s="34">
        <v>9434.0068010108589</v>
      </c>
      <c r="E14" s="35">
        <v>158819.43691361806</v>
      </c>
      <c r="F14" s="44">
        <f t="shared" si="0"/>
        <v>0</v>
      </c>
      <c r="G14" s="1">
        <f t="shared" si="1"/>
        <v>9434.0068010108589</v>
      </c>
      <c r="H14" s="1" t="str">
        <f t="shared" si="2"/>
        <v/>
      </c>
      <c r="I14" s="1"/>
    </row>
    <row r="15" spans="1:11" x14ac:dyDescent="0.4">
      <c r="A15" s="2">
        <v>11500</v>
      </c>
      <c r="B15" s="34">
        <v>0</v>
      </c>
      <c r="C15" s="34">
        <v>0</v>
      </c>
      <c r="D15" s="34">
        <v>10628.433010498295</v>
      </c>
      <c r="E15" s="35">
        <v>158819.43691361806</v>
      </c>
      <c r="F15" s="44">
        <f t="shared" si="0"/>
        <v>0</v>
      </c>
      <c r="G15" s="1">
        <f t="shared" si="1"/>
        <v>10628.433010498295</v>
      </c>
      <c r="H15" s="1" t="str">
        <f t="shared" si="2"/>
        <v/>
      </c>
      <c r="I15" s="1"/>
    </row>
    <row r="16" spans="1:11" x14ac:dyDescent="0.4">
      <c r="A16" s="2">
        <v>12000</v>
      </c>
      <c r="B16" s="34">
        <v>0</v>
      </c>
      <c r="C16" s="34">
        <v>0</v>
      </c>
      <c r="D16" s="34">
        <v>12020.39264139113</v>
      </c>
      <c r="E16" s="35">
        <v>158819.43691361806</v>
      </c>
      <c r="F16" s="44">
        <f t="shared" si="0"/>
        <v>0</v>
      </c>
      <c r="G16" s="1">
        <f t="shared" si="1"/>
        <v>12020.39264139113</v>
      </c>
      <c r="H16" s="1" t="str">
        <f t="shared" si="2"/>
        <v/>
      </c>
      <c r="I16" s="1"/>
    </row>
    <row r="17" spans="1:9" x14ac:dyDescent="0.4">
      <c r="A17" s="2">
        <v>12500</v>
      </c>
      <c r="B17" s="34">
        <v>0</v>
      </c>
      <c r="C17" s="34">
        <v>0</v>
      </c>
      <c r="D17" s="34">
        <v>13598.196059592228</v>
      </c>
      <c r="E17" s="35">
        <v>158819.43691361806</v>
      </c>
      <c r="F17" s="44">
        <f t="shared" si="0"/>
        <v>0</v>
      </c>
      <c r="G17" s="1">
        <f t="shared" si="1"/>
        <v>13598.196059592228</v>
      </c>
      <c r="H17" s="1" t="str">
        <f t="shared" si="2"/>
        <v/>
      </c>
      <c r="I17" s="1"/>
    </row>
    <row r="18" spans="1:9" x14ac:dyDescent="0.4">
      <c r="A18" s="2">
        <v>13000</v>
      </c>
      <c r="B18" s="34">
        <v>85.760191889706704</v>
      </c>
      <c r="C18" s="34">
        <v>85.760191889706704</v>
      </c>
      <c r="D18" s="34">
        <v>15350.308121726346</v>
      </c>
      <c r="E18" s="35">
        <v>158819.43691361806</v>
      </c>
      <c r="F18" s="44">
        <f t="shared" si="0"/>
        <v>85.760191889706704</v>
      </c>
      <c r="G18" s="1">
        <f t="shared" si="1"/>
        <v>15264.547929836639</v>
      </c>
      <c r="H18" s="1" t="str">
        <f t="shared" si="2"/>
        <v/>
      </c>
      <c r="I18" s="1"/>
    </row>
    <row r="19" spans="1:9" x14ac:dyDescent="0.4">
      <c r="A19" s="2">
        <v>13500</v>
      </c>
      <c r="B19" s="34">
        <v>285.92954313485075</v>
      </c>
      <c r="C19" s="34">
        <v>285.92954313485075</v>
      </c>
      <c r="D19" s="34">
        <v>17265.338043308388</v>
      </c>
      <c r="E19" s="35">
        <v>158819.43691361806</v>
      </c>
      <c r="F19" s="44">
        <f t="shared" si="0"/>
        <v>285.92954313485075</v>
      </c>
      <c r="G19" s="1">
        <f t="shared" si="1"/>
        <v>16979.408500173537</v>
      </c>
      <c r="H19" s="1" t="str">
        <f t="shared" si="2"/>
        <v/>
      </c>
      <c r="I19" s="1"/>
    </row>
    <row r="20" spans="1:9" x14ac:dyDescent="0.4">
      <c r="A20" s="2">
        <v>14000</v>
      </c>
      <c r="B20" s="34">
        <v>593.89475749614212</v>
      </c>
      <c r="C20" s="34">
        <v>593.89475749614212</v>
      </c>
      <c r="D20" s="34">
        <v>19337.294612524223</v>
      </c>
      <c r="E20" s="35">
        <v>158819.43691361806</v>
      </c>
      <c r="F20" s="44">
        <f t="shared" si="0"/>
        <v>593.89475749614212</v>
      </c>
      <c r="G20" s="1">
        <f t="shared" si="1"/>
        <v>18743.399855028081</v>
      </c>
      <c r="H20" s="1" t="str">
        <f t="shared" si="2"/>
        <v/>
      </c>
      <c r="I20" s="1"/>
    </row>
    <row r="21" spans="1:9" x14ac:dyDescent="0.4">
      <c r="A21" s="2">
        <v>14500</v>
      </c>
      <c r="B21" s="34">
        <v>1003.1665887980402</v>
      </c>
      <c r="C21" s="34">
        <v>1003.1665887980402</v>
      </c>
      <c r="D21" s="34">
        <v>21561.035609826453</v>
      </c>
      <c r="E21" s="35">
        <v>158819.43691361806</v>
      </c>
      <c r="F21" s="44">
        <f t="shared" si="0"/>
        <v>1003.1665887980402</v>
      </c>
      <c r="G21" s="1">
        <f t="shared" si="1"/>
        <v>20557.869021028411</v>
      </c>
      <c r="H21" s="1" t="str">
        <f t="shared" si="2"/>
        <v/>
      </c>
      <c r="I21" s="1"/>
    </row>
    <row r="22" spans="1:9" x14ac:dyDescent="0.4">
      <c r="A22" s="2">
        <v>15000</v>
      </c>
      <c r="B22" s="34">
        <v>1507.3757972168971</v>
      </c>
      <c r="C22" s="34">
        <v>1507.3757972168971</v>
      </c>
      <c r="D22" s="34">
        <v>23918.147296646326</v>
      </c>
      <c r="E22" s="35">
        <v>158819.43691361806</v>
      </c>
      <c r="F22" s="44">
        <f t="shared" si="0"/>
        <v>1507.3757972168971</v>
      </c>
      <c r="G22" s="1">
        <f t="shared" si="1"/>
        <v>22410.771499429429</v>
      </c>
      <c r="H22" s="1" t="str">
        <f t="shared" si="2"/>
        <v/>
      </c>
      <c r="I22" s="1"/>
    </row>
    <row r="23" spans="1:9" x14ac:dyDescent="0.4">
      <c r="A23" s="2">
        <v>15500</v>
      </c>
      <c r="B23" s="34">
        <v>2100.2691810652213</v>
      </c>
      <c r="C23" s="34">
        <v>2100.2691810652213</v>
      </c>
      <c r="D23" s="34">
        <v>26410.614705370343</v>
      </c>
      <c r="E23" s="35">
        <v>158819.43691361806</v>
      </c>
      <c r="F23" s="44">
        <f t="shared" si="0"/>
        <v>2100.2691810652213</v>
      </c>
      <c r="G23" s="1">
        <f t="shared" si="1"/>
        <v>24310.345524305121</v>
      </c>
      <c r="H23" s="1" t="str">
        <f t="shared" si="2"/>
        <v/>
      </c>
      <c r="I23" s="1"/>
    </row>
    <row r="24" spans="1:9" x14ac:dyDescent="0.4">
      <c r="A24" s="2">
        <v>16000</v>
      </c>
      <c r="B24" s="34">
        <v>2786.0460812948072</v>
      </c>
      <c r="C24" s="34">
        <v>2786.0460812948072</v>
      </c>
      <c r="D24" s="34">
        <v>29028.682853749648</v>
      </c>
      <c r="E24" s="35">
        <v>158819.43691361806</v>
      </c>
      <c r="F24" s="44">
        <f t="shared" si="0"/>
        <v>2786.0460812948072</v>
      </c>
      <c r="G24" s="1">
        <f t="shared" si="1"/>
        <v>26242.63677245484</v>
      </c>
      <c r="H24" s="1" t="str">
        <f t="shared" si="2"/>
        <v/>
      </c>
      <c r="I24" s="1"/>
    </row>
    <row r="25" spans="1:9" x14ac:dyDescent="0.4">
      <c r="A25" s="2">
        <v>16500</v>
      </c>
      <c r="B25" s="34">
        <v>3551.6789364242363</v>
      </c>
      <c r="C25" s="34">
        <v>3551.6789364242363</v>
      </c>
      <c r="D25" s="34">
        <v>31766.424788327397</v>
      </c>
      <c r="E25" s="35">
        <v>158819.43691361806</v>
      </c>
      <c r="F25" s="44">
        <f t="shared" si="0"/>
        <v>3551.6789364242363</v>
      </c>
      <c r="G25" s="1">
        <f t="shared" si="1"/>
        <v>28214.745851903161</v>
      </c>
      <c r="H25" s="1" t="str">
        <f t="shared" si="2"/>
        <v/>
      </c>
      <c r="I25" s="1"/>
    </row>
    <row r="26" spans="1:9" x14ac:dyDescent="0.4">
      <c r="A26" s="2">
        <v>17000</v>
      </c>
      <c r="B26" s="34">
        <v>4396.4904629984067</v>
      </c>
      <c r="C26" s="34">
        <v>4396.4904629984067</v>
      </c>
      <c r="D26" s="34">
        <v>34616.510023447496</v>
      </c>
      <c r="E26" s="35">
        <v>158819.43691361806</v>
      </c>
      <c r="F26" s="44">
        <f t="shared" si="0"/>
        <v>4396.4904629984067</v>
      </c>
      <c r="G26" s="1">
        <f t="shared" si="1"/>
        <v>30220.019560449087</v>
      </c>
      <c r="H26" s="1" t="str">
        <f t="shared" si="2"/>
        <v/>
      </c>
      <c r="I26" s="1"/>
    </row>
    <row r="27" spans="1:9" x14ac:dyDescent="0.4">
      <c r="A27" s="2">
        <v>17500</v>
      </c>
      <c r="B27" s="34">
        <v>5318.4817644191808</v>
      </c>
      <c r="C27" s="34">
        <v>5318.4817644191808</v>
      </c>
      <c r="D27" s="34">
        <v>37581.689241525062</v>
      </c>
      <c r="E27" s="35">
        <v>158819.43691361806</v>
      </c>
      <c r="F27" s="44">
        <f t="shared" si="0"/>
        <v>5318.4817644191808</v>
      </c>
      <c r="G27" s="1">
        <f t="shared" si="1"/>
        <v>32263.207477105883</v>
      </c>
      <c r="H27" s="1" t="str">
        <f t="shared" si="2"/>
        <v/>
      </c>
      <c r="I27" s="1"/>
    </row>
    <row r="28" spans="1:9" x14ac:dyDescent="0.4">
      <c r="A28" s="2">
        <v>18000</v>
      </c>
      <c r="B28" s="34">
        <v>6312.062303777614</v>
      </c>
      <c r="C28" s="34">
        <v>6312.062303777614</v>
      </c>
      <c r="D28" s="34">
        <v>40644.492912497721</v>
      </c>
      <c r="E28" s="35">
        <v>158819.43691361806</v>
      </c>
      <c r="F28" s="44">
        <f t="shared" si="0"/>
        <v>6312.062303777614</v>
      </c>
      <c r="G28" s="1">
        <f t="shared" si="1"/>
        <v>34332.430608720104</v>
      </c>
      <c r="H28" s="1" t="str">
        <f t="shared" si="2"/>
        <v/>
      </c>
      <c r="I28" s="1"/>
    </row>
    <row r="29" spans="1:9" x14ac:dyDescent="0.4">
      <c r="A29" s="2">
        <v>18500</v>
      </c>
      <c r="B29" s="34">
        <v>7369.1832333707553</v>
      </c>
      <c r="C29" s="34">
        <v>7369.1832333707553</v>
      </c>
      <c r="D29" s="34">
        <v>43810.407377078969</v>
      </c>
      <c r="E29" s="35">
        <v>158819.43691361806</v>
      </c>
      <c r="F29" s="44">
        <f t="shared" si="0"/>
        <v>7369.1832333707553</v>
      </c>
      <c r="G29" s="1">
        <f t="shared" si="1"/>
        <v>36441.224143708212</v>
      </c>
      <c r="H29" s="1" t="str">
        <f t="shared" si="2"/>
        <v/>
      </c>
      <c r="I29" s="1"/>
    </row>
    <row r="30" spans="1:9" x14ac:dyDescent="0.4">
      <c r="A30" s="2">
        <v>19000</v>
      </c>
      <c r="B30" s="34">
        <v>8435.042027041558</v>
      </c>
      <c r="C30" s="34">
        <v>8435.042027041558</v>
      </c>
      <c r="D30" s="34">
        <v>47076.613455937812</v>
      </c>
      <c r="E30" s="35">
        <v>158819.43691361806</v>
      </c>
      <c r="F30" s="44">
        <f t="shared" si="0"/>
        <v>8435.042027041558</v>
      </c>
      <c r="G30" s="1">
        <f t="shared" si="1"/>
        <v>38641.571428896255</v>
      </c>
      <c r="H30" s="1" t="str">
        <f t="shared" si="2"/>
        <v/>
      </c>
      <c r="I30" s="1"/>
    </row>
    <row r="31" spans="1:9" x14ac:dyDescent="0.4">
      <c r="A31" s="2">
        <v>19500</v>
      </c>
      <c r="B31" s="34">
        <v>9500.9008207123643</v>
      </c>
      <c r="C31" s="34">
        <v>9500.9008207123643</v>
      </c>
      <c r="D31" s="34">
        <v>50431.545225002505</v>
      </c>
      <c r="E31" s="35">
        <v>158819.43691361806</v>
      </c>
      <c r="F31" s="44">
        <f t="shared" si="0"/>
        <v>9500.9008207123643</v>
      </c>
      <c r="G31" s="1">
        <f t="shared" si="1"/>
        <v>40930.644404290142</v>
      </c>
      <c r="H31" s="1" t="str">
        <f t="shared" si="2"/>
        <v/>
      </c>
      <c r="I31" s="1"/>
    </row>
    <row r="32" spans="1:9" x14ac:dyDescent="0.4">
      <c r="A32" s="2">
        <v>20000</v>
      </c>
      <c r="B32" s="34">
        <v>10566.759614383174</v>
      </c>
      <c r="C32" s="34">
        <v>10566.759614383174</v>
      </c>
      <c r="D32" s="34">
        <v>53872.831865869608</v>
      </c>
      <c r="E32" s="35">
        <v>158819.43691361806</v>
      </c>
      <c r="F32" s="44">
        <f t="shared" si="0"/>
        <v>10566.759614383174</v>
      </c>
      <c r="G32" s="1">
        <f t="shared" si="1"/>
        <v>43306.072251486432</v>
      </c>
      <c r="H32" s="1" t="str">
        <f t="shared" si="2"/>
        <v/>
      </c>
      <c r="I32" s="1"/>
    </row>
    <row r="33" spans="1:9" x14ac:dyDescent="0.4">
      <c r="A33" s="2">
        <v>20500</v>
      </c>
      <c r="B33" s="34">
        <v>11632.618408053962</v>
      </c>
      <c r="C33" s="34">
        <v>11632.618408053962</v>
      </c>
      <c r="D33" s="34">
        <v>57398.117941179051</v>
      </c>
      <c r="E33" s="35">
        <v>158819.43691361806</v>
      </c>
      <c r="F33" s="44">
        <f t="shared" si="0"/>
        <v>11632.618408053962</v>
      </c>
      <c r="G33" s="1">
        <f t="shared" si="1"/>
        <v>45765.49953312509</v>
      </c>
      <c r="H33" s="1" t="str">
        <f t="shared" si="2"/>
        <v/>
      </c>
      <c r="I33" s="1"/>
    </row>
    <row r="34" spans="1:9" x14ac:dyDescent="0.4">
      <c r="A34" s="2">
        <v>21000</v>
      </c>
      <c r="B34" s="34">
        <v>12698.477201724781</v>
      </c>
      <c r="C34" s="34">
        <v>12698.477201724781</v>
      </c>
      <c r="D34" s="34">
        <v>60936.510812605156</v>
      </c>
      <c r="E34" s="35">
        <v>158819.43691361806</v>
      </c>
      <c r="F34" s="44">
        <f t="shared" si="0"/>
        <v>12698.477201724781</v>
      </c>
      <c r="G34" s="1">
        <f t="shared" si="1"/>
        <v>48238.033610880375</v>
      </c>
      <c r="H34" s="1" t="str">
        <f t="shared" si="2"/>
        <v/>
      </c>
      <c r="I34" s="1"/>
    </row>
    <row r="35" spans="1:9" x14ac:dyDescent="0.4">
      <c r="A35" s="2">
        <v>21500</v>
      </c>
      <c r="B35" s="34">
        <v>13764.335995395577</v>
      </c>
      <c r="C35" s="34">
        <v>13764.335995395577</v>
      </c>
      <c r="D35" s="34">
        <v>64474.90368403116</v>
      </c>
      <c r="E35" s="35">
        <v>158819.43691361806</v>
      </c>
      <c r="F35" s="44">
        <f t="shared" si="0"/>
        <v>13764.335995395577</v>
      </c>
      <c r="G35" s="1">
        <f t="shared" si="1"/>
        <v>50710.56768863558</v>
      </c>
      <c r="H35" s="1" t="str">
        <f t="shared" si="2"/>
        <v/>
      </c>
      <c r="I35" s="1"/>
    </row>
    <row r="36" spans="1:9" x14ac:dyDescent="0.4">
      <c r="A36" s="2">
        <v>22000</v>
      </c>
      <c r="B36" s="34">
        <v>14830.194789066376</v>
      </c>
      <c r="C36" s="34">
        <v>14830.194789066376</v>
      </c>
      <c r="D36" s="34">
        <v>68013.296555457171</v>
      </c>
      <c r="E36" s="35">
        <v>158819.43691361806</v>
      </c>
      <c r="F36" s="44">
        <f t="shared" si="0"/>
        <v>14830.194789066376</v>
      </c>
      <c r="G36" s="1">
        <f t="shared" si="1"/>
        <v>53183.101766390799</v>
      </c>
      <c r="H36" s="1" t="str">
        <f t="shared" si="2"/>
        <v/>
      </c>
      <c r="I36" s="1"/>
    </row>
    <row r="37" spans="1:9" x14ac:dyDescent="0.4">
      <c r="A37" s="2">
        <v>22500</v>
      </c>
      <c r="B37" s="34">
        <v>15896.053582737197</v>
      </c>
      <c r="C37" s="34">
        <v>15896.053582737197</v>
      </c>
      <c r="D37" s="34">
        <v>71551.689426883269</v>
      </c>
      <c r="E37" s="35">
        <v>158819.43691361806</v>
      </c>
      <c r="F37" s="44">
        <f t="shared" si="0"/>
        <v>15896.053582737197</v>
      </c>
      <c r="G37" s="1">
        <f t="shared" si="1"/>
        <v>55655.635844146076</v>
      </c>
      <c r="H37" s="1" t="str">
        <f t="shared" si="2"/>
        <v/>
      </c>
      <c r="I37" s="1"/>
    </row>
    <row r="38" spans="1:9" x14ac:dyDescent="0.4">
      <c r="A38" s="2">
        <v>23000</v>
      </c>
      <c r="B38" s="34">
        <v>16961.912376407985</v>
      </c>
      <c r="C38" s="34">
        <v>16961.912376407985</v>
      </c>
      <c r="D38" s="34">
        <v>75090.082298309222</v>
      </c>
      <c r="E38" s="35">
        <v>158819.43691361806</v>
      </c>
      <c r="F38" s="44">
        <f t="shared" si="0"/>
        <v>16961.912376407985</v>
      </c>
      <c r="G38" s="1">
        <f t="shared" si="1"/>
        <v>58128.169921901237</v>
      </c>
      <c r="H38" s="1" t="str">
        <f t="shared" si="2"/>
        <v/>
      </c>
      <c r="I38" s="1"/>
    </row>
    <row r="39" spans="1:9" x14ac:dyDescent="0.4">
      <c r="A39" s="2">
        <v>23500</v>
      </c>
      <c r="B39" s="34">
        <v>18027.771170078806</v>
      </c>
      <c r="C39" s="34">
        <v>18027.771170078806</v>
      </c>
      <c r="D39" s="34">
        <v>78628.475169735291</v>
      </c>
      <c r="E39" s="35">
        <v>158819.43691361806</v>
      </c>
      <c r="F39" s="44">
        <f t="shared" si="0"/>
        <v>18027.771170078806</v>
      </c>
      <c r="G39" s="1">
        <f t="shared" si="1"/>
        <v>60600.703999656485</v>
      </c>
      <c r="H39" s="1" t="str">
        <f t="shared" si="2"/>
        <v/>
      </c>
      <c r="I39" s="1"/>
    </row>
    <row r="40" spans="1:9" x14ac:dyDescent="0.4">
      <c r="A40" s="2">
        <v>24000</v>
      </c>
      <c r="B40" s="34">
        <v>19093.629963749609</v>
      </c>
      <c r="C40" s="34">
        <v>19093.629963749609</v>
      </c>
      <c r="D40" s="34">
        <v>82166.868041161331</v>
      </c>
      <c r="E40" s="35">
        <v>158819.43691361806</v>
      </c>
      <c r="F40" s="44">
        <f t="shared" si="0"/>
        <v>19093.629963749609</v>
      </c>
      <c r="G40" s="1">
        <f t="shared" si="1"/>
        <v>63073.238077411719</v>
      </c>
      <c r="H40" s="1" t="str">
        <f t="shared" si="2"/>
        <v/>
      </c>
      <c r="I40" s="1"/>
    </row>
    <row r="41" spans="1:9" x14ac:dyDescent="0.4">
      <c r="A41" s="2">
        <v>24500</v>
      </c>
      <c r="B41" s="34">
        <v>20159.488757420415</v>
      </c>
      <c r="C41" s="34">
        <v>20159.488757420415</v>
      </c>
      <c r="D41" s="34">
        <v>85705.260912587386</v>
      </c>
      <c r="E41" s="35">
        <v>158819.43691361806</v>
      </c>
      <c r="F41" s="44">
        <f t="shared" si="0"/>
        <v>20159.488757420415</v>
      </c>
      <c r="G41" s="1">
        <f t="shared" si="1"/>
        <v>65545.772155166967</v>
      </c>
      <c r="H41" s="1" t="str">
        <f t="shared" si="2"/>
        <v/>
      </c>
      <c r="I41" s="1"/>
    </row>
    <row r="42" spans="1:9" x14ac:dyDescent="0.4">
      <c r="A42" s="2">
        <v>25000</v>
      </c>
      <c r="B42" s="34">
        <v>21225.347551091218</v>
      </c>
      <c r="C42" s="34">
        <v>21225.347551091218</v>
      </c>
      <c r="D42" s="34">
        <v>87324.585880454993</v>
      </c>
      <c r="E42" s="35">
        <v>158819.43691361806</v>
      </c>
      <c r="F42" s="44">
        <f t="shared" si="0"/>
        <v>21225.347551091218</v>
      </c>
      <c r="G42" s="1">
        <f t="shared" si="1"/>
        <v>66099.238329363783</v>
      </c>
      <c r="H42" s="1" t="str">
        <f t="shared" si="2"/>
        <v/>
      </c>
      <c r="I42" s="1"/>
    </row>
    <row r="43" spans="1:9" x14ac:dyDescent="0.4">
      <c r="A43" s="2">
        <v>25500</v>
      </c>
      <c r="B43" s="34">
        <v>22291.206344762009</v>
      </c>
      <c r="C43" s="34">
        <v>22291.206344762009</v>
      </c>
      <c r="D43" s="34">
        <v>88663.428422698402</v>
      </c>
      <c r="E43" s="35">
        <v>158819.43691361806</v>
      </c>
      <c r="F43" s="44">
        <f t="shared" si="0"/>
        <v>22291.206344762009</v>
      </c>
      <c r="G43" s="1">
        <f t="shared" si="1"/>
        <v>66372.2220779364</v>
      </c>
      <c r="H43" s="1" t="str">
        <f t="shared" si="2"/>
        <v/>
      </c>
      <c r="I43" s="1"/>
    </row>
    <row r="44" spans="1:9" x14ac:dyDescent="0.4">
      <c r="A44" s="2">
        <v>26000</v>
      </c>
      <c r="B44" s="34">
        <v>23357.06513843283</v>
      </c>
      <c r="C44" s="34">
        <v>23357.06513843283</v>
      </c>
      <c r="D44" s="34">
        <v>89954.657180266484</v>
      </c>
      <c r="E44" s="35">
        <v>158819.43691361806</v>
      </c>
      <c r="F44" s="44">
        <f t="shared" si="0"/>
        <v>23357.06513843283</v>
      </c>
      <c r="G44" s="1">
        <f t="shared" si="1"/>
        <v>66597.592041833646</v>
      </c>
      <c r="H44" s="1" t="str">
        <f t="shared" si="2"/>
        <v/>
      </c>
      <c r="I44" s="1"/>
    </row>
    <row r="45" spans="1:9" x14ac:dyDescent="0.4">
      <c r="A45" s="2">
        <v>26500</v>
      </c>
      <c r="B45" s="34">
        <v>24422.923932103622</v>
      </c>
      <c r="C45" s="34">
        <v>24422.923932103622</v>
      </c>
      <c r="D45" s="34">
        <v>91214.821780411396</v>
      </c>
      <c r="E45" s="35">
        <v>158819.43691361806</v>
      </c>
      <c r="F45" s="44">
        <f t="shared" si="0"/>
        <v>24422.923932103622</v>
      </c>
      <c r="G45" s="1">
        <f t="shared" si="1"/>
        <v>66791.897848307766</v>
      </c>
      <c r="H45" s="1" t="str">
        <f t="shared" si="2"/>
        <v/>
      </c>
      <c r="I45" s="1"/>
    </row>
    <row r="46" spans="1:9" x14ac:dyDescent="0.4">
      <c r="A46" s="2">
        <v>27000</v>
      </c>
      <c r="B46" s="34">
        <v>25488.782725774421</v>
      </c>
      <c r="C46" s="34">
        <v>25488.782725774421</v>
      </c>
      <c r="D46" s="34">
        <v>92444.973301299266</v>
      </c>
      <c r="E46" s="35">
        <v>158819.43691361806</v>
      </c>
      <c r="F46" s="44">
        <f t="shared" si="0"/>
        <v>25488.782725774421</v>
      </c>
      <c r="G46" s="1">
        <f t="shared" si="1"/>
        <v>66956.190575524844</v>
      </c>
      <c r="H46" s="1" t="str">
        <f t="shared" si="2"/>
        <v/>
      </c>
      <c r="I46" s="1"/>
    </row>
    <row r="47" spans="1:9" x14ac:dyDescent="0.4">
      <c r="A47" s="2">
        <v>27500</v>
      </c>
      <c r="B47" s="34">
        <v>26554.641519445231</v>
      </c>
      <c r="C47" s="34">
        <v>26554.641519445231</v>
      </c>
      <c r="D47" s="34">
        <v>93634.000109206041</v>
      </c>
      <c r="E47" s="35">
        <v>158819.43691361806</v>
      </c>
      <c r="F47" s="44">
        <f t="shared" si="0"/>
        <v>26554.641519445231</v>
      </c>
      <c r="G47" s="1">
        <f t="shared" si="1"/>
        <v>67079.358589760814</v>
      </c>
      <c r="H47" s="1" t="str">
        <f t="shared" si="2"/>
        <v/>
      </c>
      <c r="I47" s="1"/>
    </row>
    <row r="48" spans="1:9" x14ac:dyDescent="0.4">
      <c r="A48" s="2">
        <v>28000</v>
      </c>
      <c r="B48" s="34">
        <v>27620.50031311603</v>
      </c>
      <c r="C48" s="34">
        <v>27620.50031311603</v>
      </c>
      <c r="D48" s="34">
        <v>94804.365288807574</v>
      </c>
      <c r="E48" s="35">
        <v>158819.43691361806</v>
      </c>
      <c r="F48" s="44">
        <f t="shared" si="0"/>
        <v>27620.50031311603</v>
      </c>
      <c r="G48" s="1">
        <f t="shared" si="1"/>
        <v>67183.86497569154</v>
      </c>
      <c r="H48" s="1" t="str">
        <f t="shared" si="2"/>
        <v/>
      </c>
      <c r="I48" s="1"/>
    </row>
    <row r="49" spans="1:9" x14ac:dyDescent="0.4">
      <c r="A49" s="2">
        <v>28500</v>
      </c>
      <c r="B49" s="34">
        <v>28686.359106786855</v>
      </c>
      <c r="C49" s="34">
        <v>28686.359106786855</v>
      </c>
      <c r="D49" s="34">
        <v>95929.897231122595</v>
      </c>
      <c r="E49" s="35">
        <v>158819.43691361806</v>
      </c>
      <c r="F49" s="44">
        <f t="shared" si="0"/>
        <v>28686.359106786855</v>
      </c>
      <c r="G49" s="1">
        <f t="shared" si="1"/>
        <v>67243.538124335741</v>
      </c>
      <c r="H49" s="1" t="str">
        <f t="shared" si="2"/>
        <v/>
      </c>
      <c r="I49" s="1"/>
    </row>
    <row r="50" spans="1:9" x14ac:dyDescent="0.4">
      <c r="A50" s="2">
        <v>29000</v>
      </c>
      <c r="B50" s="34">
        <v>29752.217900457639</v>
      </c>
      <c r="C50" s="34">
        <v>29752.217900457639</v>
      </c>
      <c r="D50" s="34">
        <v>97041.775660804182</v>
      </c>
      <c r="E50" s="35">
        <v>158819.43691361806</v>
      </c>
      <c r="F50" s="44">
        <f t="shared" si="0"/>
        <v>29752.217900457639</v>
      </c>
      <c r="G50" s="1">
        <f t="shared" si="1"/>
        <v>67289.557760346535</v>
      </c>
      <c r="H50" s="1" t="str">
        <f t="shared" si="2"/>
        <v/>
      </c>
      <c r="I50" s="1"/>
    </row>
    <row r="51" spans="1:9" x14ac:dyDescent="0.4">
      <c r="A51" s="2">
        <v>29500</v>
      </c>
      <c r="B51" s="34">
        <v>30818.076694128446</v>
      </c>
      <c r="C51" s="34">
        <v>30818.076694128446</v>
      </c>
      <c r="D51" s="34">
        <v>98111.564453269428</v>
      </c>
      <c r="E51" s="35">
        <v>158819.43691361806</v>
      </c>
      <c r="F51" s="44">
        <f t="shared" si="0"/>
        <v>30818.076694128446</v>
      </c>
      <c r="G51" s="1">
        <f t="shared" si="1"/>
        <v>67293.48775914099</v>
      </c>
      <c r="H51" s="1" t="str">
        <f t="shared" si="2"/>
        <v/>
      </c>
      <c r="I51" s="1"/>
    </row>
    <row r="52" spans="1:9" x14ac:dyDescent="0.4">
      <c r="A52" s="2">
        <v>30000</v>
      </c>
      <c r="B52" s="34">
        <v>31883.935487799255</v>
      </c>
      <c r="C52" s="34">
        <v>31883.935487799255</v>
      </c>
      <c r="D52" s="34">
        <v>99166.264970007556</v>
      </c>
      <c r="E52" s="35">
        <v>158819.43691361806</v>
      </c>
      <c r="F52" s="44">
        <f t="shared" si="0"/>
        <v>31883.935487799255</v>
      </c>
      <c r="G52" s="1">
        <f t="shared" si="1"/>
        <v>67282.329482208297</v>
      </c>
      <c r="H52" s="1" t="str">
        <f t="shared" si="2"/>
        <v/>
      </c>
      <c r="I52" s="1"/>
    </row>
    <row r="53" spans="1:9" x14ac:dyDescent="0.4">
      <c r="A53" s="2">
        <v>30500</v>
      </c>
      <c r="B53" s="34">
        <v>32949.79428147008</v>
      </c>
      <c r="C53" s="34">
        <v>32949.79428147008</v>
      </c>
      <c r="D53" s="34">
        <v>100188.17731342043</v>
      </c>
      <c r="E53" s="35">
        <v>158819.43691361806</v>
      </c>
      <c r="F53" s="44">
        <f t="shared" si="0"/>
        <v>32949.79428147008</v>
      </c>
      <c r="G53" s="1">
        <f t="shared" si="1"/>
        <v>67238.383031950347</v>
      </c>
      <c r="H53" s="1" t="str">
        <f t="shared" si="2"/>
        <v/>
      </c>
      <c r="I53" s="1"/>
    </row>
    <row r="54" spans="1:9" x14ac:dyDescent="0.4">
      <c r="A54" s="2">
        <v>31000</v>
      </c>
      <c r="B54" s="34">
        <v>34015.653075140872</v>
      </c>
      <c r="C54" s="34">
        <v>34015.653075140872</v>
      </c>
      <c r="D54" s="34">
        <v>101187.01856315215</v>
      </c>
      <c r="E54" s="35">
        <v>158819.43691361806</v>
      </c>
      <c r="F54" s="44">
        <f t="shared" si="0"/>
        <v>34015.653075140872</v>
      </c>
      <c r="G54" s="1">
        <f t="shared" si="1"/>
        <v>67171.365488011274</v>
      </c>
      <c r="H54" s="1" t="str">
        <f t="shared" si="2"/>
        <v/>
      </c>
      <c r="I54" s="1"/>
    </row>
    <row r="55" spans="1:9" x14ac:dyDescent="0.4">
      <c r="A55" s="2">
        <v>31500</v>
      </c>
      <c r="B55" s="34">
        <v>35081.511868811671</v>
      </c>
      <c r="C55" s="34">
        <v>35081.511868811671</v>
      </c>
      <c r="D55" s="34">
        <v>102169.04252963573</v>
      </c>
      <c r="E55" s="35">
        <v>158819.43691361806</v>
      </c>
      <c r="F55" s="44">
        <f t="shared" si="0"/>
        <v>35081.511868811671</v>
      </c>
      <c r="G55" s="1">
        <f t="shared" si="1"/>
        <v>67087.530660824064</v>
      </c>
      <c r="H55" s="1" t="str">
        <f t="shared" si="2"/>
        <v/>
      </c>
      <c r="I55" s="1"/>
    </row>
    <row r="56" spans="1:9" x14ac:dyDescent="0.4">
      <c r="A56" s="2">
        <v>32000</v>
      </c>
      <c r="B56" s="34">
        <v>36147.37066248247</v>
      </c>
      <c r="C56" s="34">
        <v>36147.37066248247</v>
      </c>
      <c r="D56" s="34">
        <v>103113.35354475961</v>
      </c>
      <c r="E56" s="35">
        <v>158819.43691361806</v>
      </c>
      <c r="F56" s="44">
        <f t="shared" si="0"/>
        <v>36147.37066248247</v>
      </c>
      <c r="G56" s="1">
        <f t="shared" si="1"/>
        <v>66965.982882277138</v>
      </c>
      <c r="H56" s="1" t="str">
        <f t="shared" si="2"/>
        <v/>
      </c>
      <c r="I56" s="1"/>
    </row>
    <row r="57" spans="1:9" x14ac:dyDescent="0.4">
      <c r="A57" s="2">
        <v>32500</v>
      </c>
      <c r="B57" s="34">
        <v>37213.229456153269</v>
      </c>
      <c r="C57" s="34">
        <v>37213.229456153269</v>
      </c>
      <c r="D57" s="34">
        <v>104057.6645598834</v>
      </c>
      <c r="E57" s="35">
        <v>158819.43691361806</v>
      </c>
      <c r="F57" s="44">
        <f t="shared" si="0"/>
        <v>37213.229456153269</v>
      </c>
      <c r="G57" s="1">
        <f t="shared" si="1"/>
        <v>66844.435103730124</v>
      </c>
      <c r="H57" s="1" t="str">
        <f t="shared" si="2"/>
        <v/>
      </c>
      <c r="I57" s="1"/>
    </row>
    <row r="58" spans="1:9" x14ac:dyDescent="0.4">
      <c r="A58" s="2">
        <v>33000</v>
      </c>
      <c r="B58" s="34">
        <v>38279.088249824083</v>
      </c>
      <c r="C58" s="34">
        <v>38279.088249824083</v>
      </c>
      <c r="D58" s="34">
        <v>104954.72595270677</v>
      </c>
      <c r="E58" s="35">
        <v>158819.43691361806</v>
      </c>
      <c r="F58" s="44">
        <f t="shared" si="0"/>
        <v>38279.088249824083</v>
      </c>
      <c r="G58" s="1">
        <f t="shared" si="1"/>
        <v>66675.637702882683</v>
      </c>
      <c r="H58" s="1" t="str">
        <f t="shared" si="2"/>
        <v/>
      </c>
      <c r="I58" s="1"/>
    </row>
    <row r="59" spans="1:9" x14ac:dyDescent="0.4">
      <c r="A59" s="2">
        <v>33500</v>
      </c>
      <c r="B59" s="34">
        <v>39344.947043494889</v>
      </c>
      <c r="C59" s="34">
        <v>39344.947043494889</v>
      </c>
      <c r="D59" s="34">
        <v>105845.84674418547</v>
      </c>
      <c r="E59" s="35">
        <v>158819.43691361806</v>
      </c>
      <c r="F59" s="44">
        <f t="shared" si="0"/>
        <v>39344.947043494889</v>
      </c>
      <c r="G59" s="1">
        <f t="shared" si="1"/>
        <v>66500.899700690585</v>
      </c>
      <c r="H59" s="1" t="str">
        <f t="shared" si="2"/>
        <v/>
      </c>
      <c r="I59" s="1"/>
    </row>
    <row r="60" spans="1:9" x14ac:dyDescent="0.4">
      <c r="A60" s="2">
        <v>34000</v>
      </c>
      <c r="B60" s="34">
        <v>40410.80583716571</v>
      </c>
      <c r="C60" s="34">
        <v>40410.80583716571</v>
      </c>
      <c r="D60" s="34">
        <v>106720.73815316845</v>
      </c>
      <c r="E60" s="35">
        <v>158819.43691361806</v>
      </c>
      <c r="F60" s="44">
        <f t="shared" si="0"/>
        <v>40410.80583716571</v>
      </c>
      <c r="G60" s="1">
        <f t="shared" si="1"/>
        <v>66309.932316002742</v>
      </c>
      <c r="H60" s="1" t="str">
        <f t="shared" si="2"/>
        <v/>
      </c>
      <c r="I60" s="1"/>
    </row>
    <row r="61" spans="1:9" x14ac:dyDescent="0.4">
      <c r="A61" s="2">
        <v>34500</v>
      </c>
      <c r="B61" s="34">
        <v>41476.664630836502</v>
      </c>
      <c r="C61" s="34">
        <v>41476.664630836502</v>
      </c>
      <c r="D61" s="34">
        <v>107560.02031769742</v>
      </c>
      <c r="E61" s="35">
        <v>158819.43691361806</v>
      </c>
      <c r="F61" s="44">
        <f t="shared" si="0"/>
        <v>41476.664630836502</v>
      </c>
      <c r="G61" s="1">
        <f t="shared" si="1"/>
        <v>66083.355686860916</v>
      </c>
      <c r="H61" s="1" t="str">
        <f t="shared" si="2"/>
        <v/>
      </c>
      <c r="I61" s="1"/>
    </row>
    <row r="62" spans="1:9" x14ac:dyDescent="0.4">
      <c r="A62" s="2">
        <v>35000</v>
      </c>
      <c r="B62" s="34">
        <v>42542.523424507286</v>
      </c>
      <c r="C62" s="34">
        <v>42542.523424507286</v>
      </c>
      <c r="D62" s="34">
        <v>108399.30248222637</v>
      </c>
      <c r="E62" s="35">
        <v>158819.43691361806</v>
      </c>
      <c r="F62" s="44">
        <f t="shared" si="0"/>
        <v>42542.523424507286</v>
      </c>
      <c r="G62" s="1">
        <f t="shared" si="1"/>
        <v>65856.779057719075</v>
      </c>
      <c r="H62" s="1" t="str">
        <f t="shared" si="2"/>
        <v/>
      </c>
      <c r="I62" s="1"/>
    </row>
    <row r="63" spans="1:9" x14ac:dyDescent="0.4">
      <c r="A63" s="2">
        <v>35500</v>
      </c>
      <c r="B63" s="34">
        <v>43608.382218178107</v>
      </c>
      <c r="C63" s="34">
        <v>43608.382218178107</v>
      </c>
      <c r="D63" s="34">
        <v>109209.95380548228</v>
      </c>
      <c r="E63" s="35">
        <v>158819.43691361806</v>
      </c>
      <c r="F63" s="44">
        <f t="shared" si="0"/>
        <v>43608.382218178107</v>
      </c>
      <c r="G63" s="1">
        <f t="shared" si="1"/>
        <v>65601.571587304177</v>
      </c>
      <c r="H63" s="1" t="str">
        <f t="shared" si="2"/>
        <v/>
      </c>
      <c r="I63" s="1"/>
    </row>
    <row r="64" spans="1:9" x14ac:dyDescent="0.4">
      <c r="A64" s="2">
        <v>36000</v>
      </c>
      <c r="B64" s="34">
        <v>44674.241011848913</v>
      </c>
      <c r="C64" s="34">
        <v>44674.241011848913</v>
      </c>
      <c r="D64" s="34">
        <v>109998.761148202</v>
      </c>
      <c r="E64" s="35">
        <v>158819.43691361806</v>
      </c>
      <c r="F64" s="44">
        <f t="shared" si="0"/>
        <v>44674.241011848913</v>
      </c>
      <c r="G64" s="1">
        <f t="shared" ref="G64:G65" si="3">IF(AND(D64-C64&gt;0, D64&lt;E64), D64-C64, "")</f>
        <v>65324.520136353087</v>
      </c>
      <c r="H64" s="1" t="str">
        <f t="shared" ref="H64:H65" si="4">IF(AND(E64-D64&gt;0,D64&lt;C64,C64&gt;E64),E64-D64,IF(AND(E64-D64&gt;0,D64&lt;C64),C64-D64,""))</f>
        <v/>
      </c>
      <c r="I64" s="1"/>
    </row>
    <row r="65" spans="1:9" x14ac:dyDescent="0.4">
      <c r="A65" s="2">
        <v>36500</v>
      </c>
      <c r="B65" s="34">
        <v>45740.09980551972</v>
      </c>
      <c r="C65" s="34">
        <v>45740.09980551972</v>
      </c>
      <c r="D65" s="34">
        <v>110787.56849092172</v>
      </c>
      <c r="E65" s="35">
        <v>158819.43691361806</v>
      </c>
      <c r="F65" s="44">
        <f t="shared" si="0"/>
        <v>45740.09980551972</v>
      </c>
      <c r="G65" s="1">
        <f t="shared" si="3"/>
        <v>65047.468685402004</v>
      </c>
      <c r="H65" s="1" t="str">
        <f t="shared" si="4"/>
        <v/>
      </c>
      <c r="I65" s="1"/>
    </row>
    <row r="66" spans="1:9" x14ac:dyDescent="0.4">
      <c r="A66" s="2">
        <v>37000</v>
      </c>
      <c r="B66" s="34">
        <v>46805.958599190519</v>
      </c>
      <c r="C66" s="34">
        <v>46805.958599190519</v>
      </c>
      <c r="D66" s="34">
        <v>111545.28735247646</v>
      </c>
      <c r="E66" s="35">
        <v>158819.43691361806</v>
      </c>
      <c r="F66" s="44">
        <f t="shared" si="0"/>
        <v>46805.958599190519</v>
      </c>
      <c r="G66" s="1">
        <f t="shared" ref="G66:G129" si="5">IF(AND(D66-C66&gt;0, D66&lt;E66), D66-C66, "")</f>
        <v>64739.328753285939</v>
      </c>
      <c r="H66" s="1" t="str">
        <f t="shared" ref="H66:H129" si="6">IF(AND(E66-D66&gt;0,D66&lt;C66,C66&gt;E66),E66-D66,IF(AND(E66-D66&gt;0,D66&lt;C66),C66-D66,""))</f>
        <v/>
      </c>
      <c r="I66" s="1"/>
    </row>
    <row r="67" spans="1:9" x14ac:dyDescent="0.4">
      <c r="A67" s="2">
        <v>37500</v>
      </c>
      <c r="B67" s="34">
        <v>47871.817392861325</v>
      </c>
      <c r="C67" s="34">
        <v>47871.817392861325</v>
      </c>
      <c r="D67" s="34">
        <v>112284.99652572063</v>
      </c>
      <c r="E67" s="35">
        <v>158819.43691361806</v>
      </c>
      <c r="F67" s="44">
        <f t="shared" ref="F67:F130" si="7">IF(G67&lt;&gt;"",C67, IF(H67&lt;&gt;"", D67, ""))</f>
        <v>47871.817392861325</v>
      </c>
      <c r="G67" s="1">
        <f t="shared" si="5"/>
        <v>64413.17913285931</v>
      </c>
      <c r="H67" s="1" t="str">
        <f t="shared" si="6"/>
        <v/>
      </c>
      <c r="I67" s="1"/>
    </row>
    <row r="68" spans="1:9" x14ac:dyDescent="0.4">
      <c r="A68" s="2">
        <v>38000</v>
      </c>
      <c r="B68" s="34">
        <v>48937.676186532131</v>
      </c>
      <c r="C68" s="34">
        <v>48937.676186532131</v>
      </c>
      <c r="D68" s="34">
        <v>113024.70569896478</v>
      </c>
      <c r="E68" s="35">
        <v>158819.43691361806</v>
      </c>
      <c r="F68" s="44">
        <f t="shared" si="7"/>
        <v>48937.676186532131</v>
      </c>
      <c r="G68" s="1">
        <f t="shared" si="5"/>
        <v>64087.029512432651</v>
      </c>
      <c r="H68" s="1" t="str">
        <f t="shared" si="6"/>
        <v/>
      </c>
      <c r="I68" s="1"/>
    </row>
    <row r="69" spans="1:9" x14ac:dyDescent="0.4">
      <c r="A69" s="2">
        <v>38500</v>
      </c>
      <c r="B69" s="34">
        <v>50003.534980202923</v>
      </c>
      <c r="C69" s="34">
        <v>50003.534980202923</v>
      </c>
      <c r="D69" s="34">
        <v>113740.99729206991</v>
      </c>
      <c r="E69" s="35">
        <v>158819.43691361806</v>
      </c>
      <c r="F69" s="44">
        <f t="shared" si="7"/>
        <v>50003.534980202923</v>
      </c>
      <c r="G69" s="1">
        <f t="shared" si="5"/>
        <v>63737.462311866984</v>
      </c>
      <c r="H69" s="1" t="str">
        <f t="shared" si="6"/>
        <v/>
      </c>
      <c r="I69" s="1"/>
    </row>
    <row r="70" spans="1:9" x14ac:dyDescent="0.4">
      <c r="A70" s="2">
        <v>39000</v>
      </c>
      <c r="B70" s="34">
        <v>51069.393773873737</v>
      </c>
      <c r="C70" s="34">
        <v>51069.393773873737</v>
      </c>
      <c r="D70" s="34">
        <v>114432.99845065574</v>
      </c>
      <c r="E70" s="35">
        <v>158819.43691361806</v>
      </c>
      <c r="F70" s="44">
        <f t="shared" si="7"/>
        <v>51069.393773873737</v>
      </c>
      <c r="G70" s="1">
        <f t="shared" si="5"/>
        <v>63363.604676782001</v>
      </c>
      <c r="H70" s="1" t="str">
        <f t="shared" si="6"/>
        <v/>
      </c>
      <c r="I70" s="1"/>
    </row>
    <row r="71" spans="1:9" x14ac:dyDescent="0.4">
      <c r="A71" s="2">
        <v>39500</v>
      </c>
      <c r="B71" s="34">
        <v>52135.252567544543</v>
      </c>
      <c r="C71" s="34">
        <v>52135.252567544543</v>
      </c>
      <c r="D71" s="34">
        <v>115124.9996092416</v>
      </c>
      <c r="E71" s="35">
        <v>158819.43691361806</v>
      </c>
      <c r="F71" s="44">
        <f t="shared" si="7"/>
        <v>52135.252567544543</v>
      </c>
      <c r="G71" s="1">
        <f t="shared" si="5"/>
        <v>62989.747041697054</v>
      </c>
      <c r="H71" s="1" t="str">
        <f t="shared" si="6"/>
        <v/>
      </c>
      <c r="I71" s="1"/>
    </row>
    <row r="72" spans="1:9" x14ac:dyDescent="0.4">
      <c r="A72" s="2">
        <v>40000</v>
      </c>
      <c r="B72" s="34">
        <v>53201.111361215342</v>
      </c>
      <c r="C72" s="34">
        <v>53201.111361215342</v>
      </c>
      <c r="D72" s="34">
        <v>115811.57708387103</v>
      </c>
      <c r="E72" s="35">
        <v>158819.43691361806</v>
      </c>
      <c r="F72" s="44">
        <f t="shared" si="7"/>
        <v>53201.111361215342</v>
      </c>
      <c r="G72" s="1">
        <f t="shared" si="5"/>
        <v>62610.465722655688</v>
      </c>
      <c r="H72" s="1" t="str">
        <f t="shared" si="6"/>
        <v/>
      </c>
      <c r="I72" s="1"/>
    </row>
    <row r="73" spans="1:9" x14ac:dyDescent="0.4">
      <c r="A73" s="2">
        <v>40500</v>
      </c>
      <c r="B73" s="34">
        <v>54266.970154886149</v>
      </c>
      <c r="C73" s="34">
        <v>54266.970154886149</v>
      </c>
      <c r="D73" s="34">
        <v>116457.27455745358</v>
      </c>
      <c r="E73" s="35">
        <v>158819.43691361806</v>
      </c>
      <c r="F73" s="44">
        <f t="shared" si="7"/>
        <v>54266.970154886149</v>
      </c>
      <c r="G73" s="1">
        <f t="shared" si="5"/>
        <v>62190.304402567432</v>
      </c>
      <c r="H73" s="1" t="str">
        <f t="shared" si="6"/>
        <v/>
      </c>
      <c r="I73" s="1"/>
    </row>
    <row r="74" spans="1:9" x14ac:dyDescent="0.4">
      <c r="A74" s="2">
        <v>41000</v>
      </c>
      <c r="B74" s="34">
        <v>55332.82894855694</v>
      </c>
      <c r="C74" s="34">
        <v>55332.82894855694</v>
      </c>
      <c r="D74" s="34">
        <v>117102.97203103612</v>
      </c>
      <c r="E74" s="35">
        <v>158819.43691361806</v>
      </c>
      <c r="F74" s="44">
        <f t="shared" si="7"/>
        <v>55332.82894855694</v>
      </c>
      <c r="G74" s="1">
        <f t="shared" si="5"/>
        <v>61770.143082479175</v>
      </c>
      <c r="H74" s="1" t="str">
        <f t="shared" si="6"/>
        <v/>
      </c>
      <c r="I74" s="1"/>
    </row>
    <row r="75" spans="1:9" x14ac:dyDescent="0.4">
      <c r="A75" s="2">
        <v>41500</v>
      </c>
      <c r="B75" s="34">
        <v>56398.687742227747</v>
      </c>
      <c r="C75" s="34">
        <v>56398.687742227747</v>
      </c>
      <c r="D75" s="34">
        <v>117748.66950461861</v>
      </c>
      <c r="E75" s="35">
        <v>158819.43691361806</v>
      </c>
      <c r="F75" s="44">
        <f t="shared" si="7"/>
        <v>56398.687742227747</v>
      </c>
      <c r="G75" s="1">
        <f t="shared" si="5"/>
        <v>61349.98176239086</v>
      </c>
      <c r="H75" s="1" t="str">
        <f t="shared" si="6"/>
        <v/>
      </c>
      <c r="I75" s="1"/>
    </row>
    <row r="76" spans="1:9" x14ac:dyDescent="0.4">
      <c r="A76" s="2">
        <v>42000</v>
      </c>
      <c r="B76" s="34">
        <v>57464.546535898568</v>
      </c>
      <c r="C76" s="34">
        <v>57464.546535898568</v>
      </c>
      <c r="D76" s="34">
        <v>118372.58019655346</v>
      </c>
      <c r="E76" s="35">
        <v>158819.43691361806</v>
      </c>
      <c r="F76" s="44">
        <f t="shared" si="7"/>
        <v>57464.546535898568</v>
      </c>
      <c r="G76" s="1">
        <f t="shared" si="5"/>
        <v>60908.033660654895</v>
      </c>
      <c r="H76" s="1" t="str">
        <f t="shared" si="6"/>
        <v/>
      </c>
      <c r="I76" s="1"/>
    </row>
    <row r="77" spans="1:9" x14ac:dyDescent="0.4">
      <c r="A77" s="2">
        <v>42500</v>
      </c>
      <c r="B77" s="34">
        <v>58530.405329569381</v>
      </c>
      <c r="C77" s="34">
        <v>58530.405329569381</v>
      </c>
      <c r="D77" s="34">
        <v>118973.39317958026</v>
      </c>
      <c r="E77" s="35">
        <v>158819.43691361806</v>
      </c>
      <c r="F77" s="44">
        <f t="shared" si="7"/>
        <v>58530.405329569381</v>
      </c>
      <c r="G77" s="1">
        <f t="shared" si="5"/>
        <v>60442.987850010883</v>
      </c>
      <c r="H77" s="1" t="str">
        <f t="shared" si="6"/>
        <v/>
      </c>
      <c r="I77" s="1"/>
    </row>
    <row r="78" spans="1:9" x14ac:dyDescent="0.4">
      <c r="A78" s="2">
        <v>43000</v>
      </c>
      <c r="B78" s="34">
        <v>59596.264123240166</v>
      </c>
      <c r="C78" s="34">
        <v>59596.264123240166</v>
      </c>
      <c r="D78" s="34">
        <v>119574.20616260709</v>
      </c>
      <c r="E78" s="35">
        <v>158819.43691361806</v>
      </c>
      <c r="F78" s="44">
        <f t="shared" si="7"/>
        <v>59596.264123240166</v>
      </c>
      <c r="G78" s="1">
        <f t="shared" si="5"/>
        <v>59977.942039366928</v>
      </c>
      <c r="H78" s="1" t="str">
        <f t="shared" si="6"/>
        <v/>
      </c>
      <c r="I78" s="1"/>
    </row>
    <row r="79" spans="1:9" x14ac:dyDescent="0.4">
      <c r="A79" s="2">
        <v>43500</v>
      </c>
      <c r="B79" s="34">
        <v>60662.122916910987</v>
      </c>
      <c r="C79" s="34">
        <v>60662.122916910987</v>
      </c>
      <c r="D79" s="34">
        <v>120175.01914563387</v>
      </c>
      <c r="E79" s="35">
        <v>158819.43691361806</v>
      </c>
      <c r="F79" s="44">
        <f t="shared" si="7"/>
        <v>60662.122916910987</v>
      </c>
      <c r="G79" s="1">
        <f t="shared" si="5"/>
        <v>59512.896228722879</v>
      </c>
      <c r="H79" s="1" t="str">
        <f t="shared" si="6"/>
        <v/>
      </c>
      <c r="I79" s="1"/>
    </row>
    <row r="80" spans="1:9" x14ac:dyDescent="0.4">
      <c r="A80" s="2">
        <v>44000</v>
      </c>
      <c r="B80" s="34">
        <v>61727.981710581756</v>
      </c>
      <c r="C80" s="34">
        <v>61727.981710581756</v>
      </c>
      <c r="D80" s="34">
        <v>120751.29415605076</v>
      </c>
      <c r="E80" s="35">
        <v>158819.43691361806</v>
      </c>
      <c r="F80" s="44">
        <f t="shared" si="7"/>
        <v>61727.981710581756</v>
      </c>
      <c r="G80" s="1">
        <f t="shared" si="5"/>
        <v>59023.312445469004</v>
      </c>
      <c r="H80" s="1" t="str">
        <f t="shared" si="6"/>
        <v/>
      </c>
      <c r="I80" s="1"/>
    </row>
    <row r="81" spans="1:9" x14ac:dyDescent="0.4">
      <c r="A81" s="2">
        <v>44500</v>
      </c>
      <c r="B81" s="34">
        <v>62793.840504252592</v>
      </c>
      <c r="C81" s="34">
        <v>62793.840504252592</v>
      </c>
      <c r="D81" s="34">
        <v>121308.65741587026</v>
      </c>
      <c r="E81" s="35">
        <v>158819.43691361806</v>
      </c>
      <c r="F81" s="44">
        <f t="shared" si="7"/>
        <v>62793.840504252592</v>
      </c>
      <c r="G81" s="1">
        <f t="shared" si="5"/>
        <v>58514.816911617665</v>
      </c>
      <c r="H81" s="1" t="str">
        <f t="shared" si="6"/>
        <v/>
      </c>
      <c r="I81" s="1"/>
    </row>
    <row r="82" spans="1:9" x14ac:dyDescent="0.4">
      <c r="A82" s="2">
        <v>45000</v>
      </c>
      <c r="B82" s="34">
        <v>63859.699297923391</v>
      </c>
      <c r="C82" s="34">
        <v>63859.699297923391</v>
      </c>
      <c r="D82" s="34">
        <v>121866.02067568971</v>
      </c>
      <c r="E82" s="35">
        <v>158819.43691361806</v>
      </c>
      <c r="F82" s="44">
        <f t="shared" si="7"/>
        <v>63859.699297923391</v>
      </c>
      <c r="G82" s="1">
        <f t="shared" si="5"/>
        <v>58006.321377766319</v>
      </c>
      <c r="H82" s="1" t="str">
        <f t="shared" si="6"/>
        <v/>
      </c>
      <c r="I82" s="1"/>
    </row>
    <row r="83" spans="1:9" x14ac:dyDescent="0.4">
      <c r="A83" s="2">
        <v>45500</v>
      </c>
      <c r="B83" s="34">
        <v>64925.558091594205</v>
      </c>
      <c r="C83" s="34">
        <v>64925.558091594205</v>
      </c>
      <c r="D83" s="34">
        <v>122423.38393550921</v>
      </c>
      <c r="E83" s="35">
        <v>158819.43691361806</v>
      </c>
      <c r="F83" s="44">
        <f t="shared" si="7"/>
        <v>64925.558091594205</v>
      </c>
      <c r="G83" s="1">
        <f t="shared" si="5"/>
        <v>57497.825843915001</v>
      </c>
      <c r="H83" s="1" t="str">
        <f t="shared" si="6"/>
        <v/>
      </c>
      <c r="I83" s="1"/>
    </row>
    <row r="84" spans="1:9" x14ac:dyDescent="0.4">
      <c r="A84" s="2">
        <v>46000</v>
      </c>
      <c r="B84" s="34">
        <v>65991.416885264975</v>
      </c>
      <c r="C84" s="34">
        <v>65991.416885264975</v>
      </c>
      <c r="D84" s="34">
        <v>122967.34442524404</v>
      </c>
      <c r="E84" s="35">
        <v>158819.43691361806</v>
      </c>
      <c r="F84" s="44">
        <f t="shared" si="7"/>
        <v>65991.416885264975</v>
      </c>
      <c r="G84" s="1">
        <f t="shared" si="5"/>
        <v>56975.927539979064</v>
      </c>
      <c r="H84" s="1" t="str">
        <f t="shared" si="6"/>
        <v/>
      </c>
      <c r="I84" s="1"/>
    </row>
    <row r="85" spans="1:9" x14ac:dyDescent="0.4">
      <c r="A85" s="2">
        <v>46500</v>
      </c>
      <c r="B85" s="34">
        <v>67057.27567893581</v>
      </c>
      <c r="C85" s="34">
        <v>67057.27567893581</v>
      </c>
      <c r="D85" s="34">
        <v>123482.70902893592</v>
      </c>
      <c r="E85" s="35">
        <v>158819.43691361806</v>
      </c>
      <c r="F85" s="44">
        <f t="shared" si="7"/>
        <v>67057.27567893581</v>
      </c>
      <c r="G85" s="1">
        <f t="shared" si="5"/>
        <v>56425.433350000108</v>
      </c>
      <c r="H85" s="1" t="str">
        <f t="shared" si="6"/>
        <v/>
      </c>
      <c r="I85" s="1"/>
    </row>
    <row r="86" spans="1:9" x14ac:dyDescent="0.4">
      <c r="A86" s="2">
        <v>47000</v>
      </c>
      <c r="B86" s="34">
        <v>68123.134472606616</v>
      </c>
      <c r="C86" s="34">
        <v>68123.134472606616</v>
      </c>
      <c r="D86" s="34">
        <v>123998.07363262773</v>
      </c>
      <c r="E86" s="35">
        <v>158819.43691361806</v>
      </c>
      <c r="F86" s="44">
        <f t="shared" si="7"/>
        <v>68123.134472606616</v>
      </c>
      <c r="G86" s="1">
        <f t="shared" si="5"/>
        <v>55874.939160021109</v>
      </c>
      <c r="H86" s="1" t="str">
        <f t="shared" si="6"/>
        <v/>
      </c>
      <c r="I86" s="1"/>
    </row>
    <row r="87" spans="1:9" x14ac:dyDescent="0.4">
      <c r="A87" s="2">
        <v>47500</v>
      </c>
      <c r="B87" s="34">
        <v>69188.993266277394</v>
      </c>
      <c r="C87" s="34">
        <v>69188.993266277394</v>
      </c>
      <c r="D87" s="34">
        <v>124513.43823631956</v>
      </c>
      <c r="E87" s="35">
        <v>158819.43691361806</v>
      </c>
      <c r="F87" s="44">
        <f t="shared" si="7"/>
        <v>69188.993266277394</v>
      </c>
      <c r="G87" s="1">
        <f t="shared" si="5"/>
        <v>55324.444970042168</v>
      </c>
      <c r="H87" s="1" t="str">
        <f t="shared" si="6"/>
        <v/>
      </c>
      <c r="I87" s="1"/>
    </row>
    <row r="88" spans="1:9" x14ac:dyDescent="0.4">
      <c r="A88" s="2">
        <v>48000</v>
      </c>
      <c r="B88" s="34">
        <v>70254.852059948214</v>
      </c>
      <c r="C88" s="34">
        <v>70254.852059948214</v>
      </c>
      <c r="D88" s="34">
        <v>125028.80284001141</v>
      </c>
      <c r="E88" s="35">
        <v>158819.43691361806</v>
      </c>
      <c r="F88" s="44">
        <f t="shared" si="7"/>
        <v>70254.852059948214</v>
      </c>
      <c r="G88" s="1">
        <f t="shared" si="5"/>
        <v>54773.950780063198</v>
      </c>
      <c r="H88" s="1" t="str">
        <f t="shared" si="6"/>
        <v/>
      </c>
      <c r="I88" s="1"/>
    </row>
    <row r="89" spans="1:9" x14ac:dyDescent="0.4">
      <c r="A89" s="2">
        <v>48500</v>
      </c>
      <c r="B89" s="34">
        <v>71320.710853619006</v>
      </c>
      <c r="C89" s="34">
        <v>71320.710853619006</v>
      </c>
      <c r="D89" s="34">
        <v>125515.54426061946</v>
      </c>
      <c r="E89" s="35">
        <v>158819.43691361806</v>
      </c>
      <c r="F89" s="44">
        <f t="shared" si="7"/>
        <v>71320.710853619006</v>
      </c>
      <c r="G89" s="1">
        <f t="shared" si="5"/>
        <v>54194.833407000449</v>
      </c>
      <c r="H89" s="1" t="str">
        <f t="shared" si="6"/>
        <v/>
      </c>
      <c r="I89" s="1"/>
    </row>
    <row r="90" spans="1:9" x14ac:dyDescent="0.4">
      <c r="A90" s="2">
        <v>49000</v>
      </c>
      <c r="B90" s="34">
        <v>72386.569647289856</v>
      </c>
      <c r="C90" s="34">
        <v>72386.569647289856</v>
      </c>
      <c r="D90" s="34">
        <v>125990.37832113368</v>
      </c>
      <c r="E90" s="35">
        <v>158819.43691361806</v>
      </c>
      <c r="F90" s="44">
        <f t="shared" si="7"/>
        <v>72386.569647289856</v>
      </c>
      <c r="G90" s="1">
        <f t="shared" si="5"/>
        <v>53603.808673843829</v>
      </c>
      <c r="H90" s="1" t="str">
        <f t="shared" si="6"/>
        <v/>
      </c>
      <c r="I90" s="1"/>
    </row>
    <row r="91" spans="1:9" x14ac:dyDescent="0.4">
      <c r="A91" s="2">
        <v>49500</v>
      </c>
      <c r="B91" s="34">
        <v>73452.428440960633</v>
      </c>
      <c r="C91" s="34">
        <v>73452.428440960633</v>
      </c>
      <c r="D91" s="34">
        <v>126465.21238164796</v>
      </c>
      <c r="E91" s="35">
        <v>158819.43691361806</v>
      </c>
      <c r="F91" s="44">
        <f t="shared" si="7"/>
        <v>73452.428440960633</v>
      </c>
      <c r="G91" s="1">
        <f t="shared" si="5"/>
        <v>53012.783940687325</v>
      </c>
      <c r="H91" s="1" t="str">
        <f t="shared" si="6"/>
        <v/>
      </c>
      <c r="I91" s="1"/>
    </row>
    <row r="92" spans="1:9" x14ac:dyDescent="0.4">
      <c r="A92" s="2">
        <v>50000</v>
      </c>
      <c r="B92" s="34">
        <v>74518.287234631454</v>
      </c>
      <c r="C92" s="34">
        <v>74518.287234631454</v>
      </c>
      <c r="D92" s="34">
        <v>126940.04644216223</v>
      </c>
      <c r="E92" s="35">
        <v>158819.43691361806</v>
      </c>
      <c r="F92" s="44">
        <f t="shared" si="7"/>
        <v>74518.287234631454</v>
      </c>
      <c r="G92" s="1">
        <f t="shared" si="5"/>
        <v>52421.759207530777</v>
      </c>
      <c r="H92" s="1" t="str">
        <f t="shared" si="6"/>
        <v/>
      </c>
      <c r="I92" s="1"/>
    </row>
    <row r="93" spans="1:9" x14ac:dyDescent="0.4">
      <c r="A93" s="2">
        <v>50500</v>
      </c>
      <c r="B93" s="34">
        <v>75584.146028302261</v>
      </c>
      <c r="C93" s="34">
        <v>75584.146028302261</v>
      </c>
      <c r="D93" s="34">
        <v>127414.88050267647</v>
      </c>
      <c r="E93" s="35">
        <v>158819.43691361806</v>
      </c>
      <c r="F93" s="44">
        <f t="shared" si="7"/>
        <v>75584.146028302261</v>
      </c>
      <c r="G93" s="1">
        <f t="shared" si="5"/>
        <v>51830.734474374214</v>
      </c>
      <c r="H93" s="1" t="str">
        <f t="shared" si="6"/>
        <v/>
      </c>
      <c r="I93" s="1"/>
    </row>
    <row r="94" spans="1:9" x14ac:dyDescent="0.4">
      <c r="A94" s="2">
        <v>51000</v>
      </c>
      <c r="B94" s="34">
        <v>76650.004821973038</v>
      </c>
      <c r="C94" s="34">
        <v>76650.004821973038</v>
      </c>
      <c r="D94" s="34">
        <v>127863.32078893681</v>
      </c>
      <c r="E94" s="35">
        <v>158819.43691361806</v>
      </c>
      <c r="F94" s="44">
        <f t="shared" si="7"/>
        <v>76650.004821973038</v>
      </c>
      <c r="G94" s="1">
        <f t="shared" si="5"/>
        <v>51213.315966963768</v>
      </c>
      <c r="H94" s="1" t="str">
        <f t="shared" si="6"/>
        <v/>
      </c>
      <c r="I94" s="1"/>
    </row>
    <row r="95" spans="1:9" x14ac:dyDescent="0.4">
      <c r="A95" s="2">
        <v>51500</v>
      </c>
      <c r="B95" s="34">
        <v>77715.863615643873</v>
      </c>
      <c r="C95" s="34">
        <v>77715.863615643873</v>
      </c>
      <c r="D95" s="34">
        <v>128299.11023114437</v>
      </c>
      <c r="E95" s="35">
        <v>158819.43691361806</v>
      </c>
      <c r="F95" s="44">
        <f t="shared" si="7"/>
        <v>77715.863615643873</v>
      </c>
      <c r="G95" s="1">
        <f t="shared" si="5"/>
        <v>50583.246615500495</v>
      </c>
      <c r="H95" s="1" t="str">
        <f t="shared" si="6"/>
        <v/>
      </c>
      <c r="I95" s="1"/>
    </row>
    <row r="96" spans="1:9" x14ac:dyDescent="0.4">
      <c r="A96" s="2">
        <v>52000</v>
      </c>
      <c r="B96" s="34">
        <v>78781.722409314665</v>
      </c>
      <c r="C96" s="34">
        <v>78781.722409314665</v>
      </c>
      <c r="D96" s="34">
        <v>128734.89967335195</v>
      </c>
      <c r="E96" s="35">
        <v>158819.43691361806</v>
      </c>
      <c r="F96" s="44">
        <f t="shared" si="7"/>
        <v>78781.722409314665</v>
      </c>
      <c r="G96" s="1">
        <f t="shared" si="5"/>
        <v>49953.17726403728</v>
      </c>
      <c r="H96" s="1" t="str">
        <f t="shared" si="6"/>
        <v/>
      </c>
      <c r="I96" s="1"/>
    </row>
    <row r="97" spans="1:9" x14ac:dyDescent="0.4">
      <c r="A97" s="2">
        <v>52500</v>
      </c>
      <c r="B97" s="34">
        <v>79847.581202985442</v>
      </c>
      <c r="C97" s="34">
        <v>79847.581202985442</v>
      </c>
      <c r="D97" s="34">
        <v>129170.68911555949</v>
      </c>
      <c r="E97" s="35">
        <v>158819.43691361806</v>
      </c>
      <c r="F97" s="44">
        <f t="shared" si="7"/>
        <v>79847.581202985442</v>
      </c>
      <c r="G97" s="1">
        <f t="shared" si="5"/>
        <v>49323.107912574051</v>
      </c>
      <c r="H97" s="1" t="str">
        <f t="shared" si="6"/>
        <v/>
      </c>
      <c r="I97" s="1"/>
    </row>
    <row r="98" spans="1:9" x14ac:dyDescent="0.4">
      <c r="A98" s="2">
        <v>53000</v>
      </c>
      <c r="B98" s="34">
        <v>80913.439996656263</v>
      </c>
      <c r="C98" s="34">
        <v>80913.439996656263</v>
      </c>
      <c r="D98" s="34">
        <v>129606.47855776707</v>
      </c>
      <c r="E98" s="35">
        <v>158819.43691361806</v>
      </c>
      <c r="F98" s="44">
        <f t="shared" si="7"/>
        <v>80913.439996656263</v>
      </c>
      <c r="G98" s="1">
        <f t="shared" si="5"/>
        <v>48693.038561110807</v>
      </c>
      <c r="H98" s="1" t="str">
        <f t="shared" si="6"/>
        <v/>
      </c>
      <c r="I98" s="1"/>
    </row>
    <row r="99" spans="1:9" x14ac:dyDescent="0.4">
      <c r="A99" s="2">
        <v>53500</v>
      </c>
      <c r="B99" s="34">
        <v>81979.29879032707</v>
      </c>
      <c r="C99" s="34">
        <v>81979.29879032707</v>
      </c>
      <c r="D99" s="34">
        <v>130035.92728627825</v>
      </c>
      <c r="E99" s="35">
        <v>158819.43691361806</v>
      </c>
      <c r="F99" s="44">
        <f t="shared" si="7"/>
        <v>81979.29879032707</v>
      </c>
      <c r="G99" s="1">
        <f t="shared" si="5"/>
        <v>48056.628495951183</v>
      </c>
      <c r="H99" s="1" t="str">
        <f t="shared" si="6"/>
        <v/>
      </c>
      <c r="I99" s="1"/>
    </row>
    <row r="100" spans="1:9" x14ac:dyDescent="0.4">
      <c r="A100" s="2">
        <v>54000</v>
      </c>
      <c r="B100" s="34">
        <v>83045.157583997847</v>
      </c>
      <c r="C100" s="34">
        <v>83045.157583997847</v>
      </c>
      <c r="D100" s="34">
        <v>130434.17663355416</v>
      </c>
      <c r="E100" s="35">
        <v>158819.43691361806</v>
      </c>
      <c r="F100" s="44">
        <f t="shared" si="7"/>
        <v>83045.157583997847</v>
      </c>
      <c r="G100" s="1">
        <f t="shared" si="5"/>
        <v>47389.019049556315</v>
      </c>
      <c r="H100" s="1" t="str">
        <f t="shared" si="6"/>
        <v/>
      </c>
      <c r="I100" s="1"/>
    </row>
    <row r="101" spans="1:9" x14ac:dyDescent="0.4">
      <c r="A101" s="2">
        <v>54500</v>
      </c>
      <c r="B101" s="34">
        <v>84111.016377668682</v>
      </c>
      <c r="C101" s="34">
        <v>84111.016377668682</v>
      </c>
      <c r="D101" s="34">
        <v>130832.42598083013</v>
      </c>
      <c r="E101" s="35">
        <v>158819.43691361806</v>
      </c>
      <c r="F101" s="44">
        <f t="shared" si="7"/>
        <v>84111.016377668682</v>
      </c>
      <c r="G101" s="1">
        <f t="shared" si="5"/>
        <v>46721.409603161446</v>
      </c>
      <c r="H101" s="1" t="str">
        <f t="shared" si="6"/>
        <v/>
      </c>
      <c r="I101" s="1"/>
    </row>
    <row r="102" spans="1:9" x14ac:dyDescent="0.4">
      <c r="A102" s="2">
        <v>55000</v>
      </c>
      <c r="B102" s="34">
        <v>85176.875171339459</v>
      </c>
      <c r="C102" s="34">
        <v>85176.875171339459</v>
      </c>
      <c r="D102" s="34">
        <v>131230.67532810607</v>
      </c>
      <c r="E102" s="35">
        <v>158819.43691361806</v>
      </c>
      <c r="F102" s="44">
        <f t="shared" si="7"/>
        <v>85176.875171339459</v>
      </c>
      <c r="G102" s="1">
        <f t="shared" si="5"/>
        <v>46053.800156766607</v>
      </c>
      <c r="H102" s="1" t="str">
        <f t="shared" si="6"/>
        <v/>
      </c>
      <c r="I102" s="1"/>
    </row>
    <row r="103" spans="1:9" x14ac:dyDescent="0.4">
      <c r="A103" s="2">
        <v>55500</v>
      </c>
      <c r="B103" s="34">
        <v>86242.733965010324</v>
      </c>
      <c r="C103" s="34">
        <v>86242.733965010324</v>
      </c>
      <c r="D103" s="34">
        <v>131628.92467538203</v>
      </c>
      <c r="E103" s="35">
        <v>158819.43691361806</v>
      </c>
      <c r="F103" s="44">
        <f t="shared" si="7"/>
        <v>86242.733965010324</v>
      </c>
      <c r="G103" s="1">
        <f t="shared" si="5"/>
        <v>45386.190710371709</v>
      </c>
      <c r="H103" s="1" t="str">
        <f t="shared" si="6"/>
        <v/>
      </c>
      <c r="I103" s="1"/>
    </row>
    <row r="104" spans="1:9" x14ac:dyDescent="0.4">
      <c r="A104" s="2">
        <v>56000</v>
      </c>
      <c r="B104" s="34">
        <v>87308.592758681072</v>
      </c>
      <c r="C104" s="34">
        <v>87308.592758681072</v>
      </c>
      <c r="D104" s="34">
        <v>132027.17402265791</v>
      </c>
      <c r="E104" s="35">
        <v>158819.43691361806</v>
      </c>
      <c r="F104" s="44">
        <f t="shared" si="7"/>
        <v>87308.592758681072</v>
      </c>
      <c r="G104" s="1">
        <f t="shared" si="5"/>
        <v>44718.581263976841</v>
      </c>
      <c r="H104" s="1" t="str">
        <f t="shared" si="6"/>
        <v/>
      </c>
      <c r="I104" s="1"/>
    </row>
    <row r="105" spans="1:9" x14ac:dyDescent="0.4">
      <c r="A105" s="2">
        <v>56500</v>
      </c>
      <c r="B105" s="34">
        <v>88374.451552351893</v>
      </c>
      <c r="C105" s="34">
        <v>88374.451552351893</v>
      </c>
      <c r="D105" s="34">
        <v>132421.33575117608</v>
      </c>
      <c r="E105" s="35">
        <v>158819.43691361806</v>
      </c>
      <c r="F105" s="44">
        <f t="shared" si="7"/>
        <v>88374.451552351893</v>
      </c>
      <c r="G105" s="1">
        <f t="shared" si="5"/>
        <v>44046.884198824191</v>
      </c>
      <c r="H105" s="1" t="str">
        <f t="shared" si="6"/>
        <v/>
      </c>
      <c r="I105" s="1"/>
    </row>
    <row r="106" spans="1:9" x14ac:dyDescent="0.4">
      <c r="A106" s="2">
        <v>57000</v>
      </c>
      <c r="B106" s="34">
        <v>89440.310346022699</v>
      </c>
      <c r="C106" s="34">
        <v>89440.310346022699</v>
      </c>
      <c r="D106" s="34">
        <v>132783.56893315513</v>
      </c>
      <c r="E106" s="35">
        <v>158819.43691361806</v>
      </c>
      <c r="F106" s="44">
        <f t="shared" si="7"/>
        <v>89440.310346022699</v>
      </c>
      <c r="G106" s="1">
        <f t="shared" si="5"/>
        <v>43343.258587132426</v>
      </c>
      <c r="H106" s="1" t="str">
        <f t="shared" si="6"/>
        <v/>
      </c>
      <c r="I106" s="1"/>
    </row>
    <row r="107" spans="1:9" x14ac:dyDescent="0.4">
      <c r="A107" s="2">
        <v>57500</v>
      </c>
      <c r="B107" s="34">
        <v>90506.169139693506</v>
      </c>
      <c r="C107" s="34">
        <v>90506.169139693506</v>
      </c>
      <c r="D107" s="34">
        <v>133145.80211513414</v>
      </c>
      <c r="E107" s="35">
        <v>158819.43691361806</v>
      </c>
      <c r="F107" s="44">
        <f t="shared" si="7"/>
        <v>90506.169139693506</v>
      </c>
      <c r="G107" s="1">
        <f t="shared" si="5"/>
        <v>42639.632975440632</v>
      </c>
      <c r="H107" s="1" t="str">
        <f t="shared" si="6"/>
        <v/>
      </c>
      <c r="I107" s="1"/>
    </row>
    <row r="108" spans="1:9" x14ac:dyDescent="0.4">
      <c r="A108" s="2">
        <v>58000</v>
      </c>
      <c r="B108" s="34">
        <v>91572.027933364297</v>
      </c>
      <c r="C108" s="34">
        <v>91572.027933364297</v>
      </c>
      <c r="D108" s="34">
        <v>133508.03529711315</v>
      </c>
      <c r="E108" s="35">
        <v>158819.43691361806</v>
      </c>
      <c r="F108" s="44">
        <f t="shared" si="7"/>
        <v>91572.027933364297</v>
      </c>
      <c r="G108" s="1">
        <f t="shared" si="5"/>
        <v>41936.007363748853</v>
      </c>
      <c r="H108" s="1" t="str">
        <f t="shared" si="6"/>
        <v/>
      </c>
      <c r="I108" s="1"/>
    </row>
    <row r="109" spans="1:9" x14ac:dyDescent="0.4">
      <c r="A109" s="2">
        <v>58500</v>
      </c>
      <c r="B109" s="34">
        <v>92637.886727035104</v>
      </c>
      <c r="C109" s="34">
        <v>92637.886727035104</v>
      </c>
      <c r="D109" s="34">
        <v>133870.26847909216</v>
      </c>
      <c r="E109" s="35">
        <v>158819.43691361806</v>
      </c>
      <c r="F109" s="44">
        <f t="shared" si="7"/>
        <v>92637.886727035104</v>
      </c>
      <c r="G109" s="1">
        <f t="shared" si="5"/>
        <v>41232.381752057059</v>
      </c>
      <c r="H109" s="1" t="str">
        <f t="shared" si="6"/>
        <v/>
      </c>
      <c r="I109" s="1"/>
    </row>
    <row r="110" spans="1:9" x14ac:dyDescent="0.4">
      <c r="A110" s="2">
        <v>59000</v>
      </c>
      <c r="B110" s="34">
        <v>93703.745520705896</v>
      </c>
      <c r="C110" s="34">
        <v>93703.745520705896</v>
      </c>
      <c r="D110" s="34">
        <v>134232.50166107126</v>
      </c>
      <c r="E110" s="35">
        <v>158819.43691361806</v>
      </c>
      <c r="F110" s="44">
        <f t="shared" si="7"/>
        <v>93703.745520705896</v>
      </c>
      <c r="G110" s="1">
        <f t="shared" si="5"/>
        <v>40528.756140365367</v>
      </c>
      <c r="H110" s="1" t="str">
        <f t="shared" si="6"/>
        <v/>
      </c>
      <c r="I110" s="1"/>
    </row>
    <row r="111" spans="1:9" x14ac:dyDescent="0.4">
      <c r="A111" s="2">
        <v>59500</v>
      </c>
      <c r="B111" s="34">
        <v>94769.604314376717</v>
      </c>
      <c r="C111" s="34">
        <v>94769.604314376717</v>
      </c>
      <c r="D111" s="34">
        <v>134594.73484305028</v>
      </c>
      <c r="E111" s="35">
        <v>158819.43691361806</v>
      </c>
      <c r="F111" s="44">
        <f t="shared" si="7"/>
        <v>94769.604314376717</v>
      </c>
      <c r="G111" s="1">
        <f t="shared" si="5"/>
        <v>39825.130528673559</v>
      </c>
      <c r="H111" s="1" t="str">
        <f t="shared" si="6"/>
        <v/>
      </c>
      <c r="I111" s="1"/>
    </row>
    <row r="112" spans="1:9" x14ac:dyDescent="0.4">
      <c r="A112" s="2">
        <v>60000</v>
      </c>
      <c r="B112" s="34">
        <v>95835.463108047523</v>
      </c>
      <c r="C112" s="34">
        <v>95835.463108047523</v>
      </c>
      <c r="D112" s="34">
        <v>134942.37792225418</v>
      </c>
      <c r="E112" s="35">
        <v>158819.43691361806</v>
      </c>
      <c r="F112" s="44">
        <f t="shared" si="7"/>
        <v>95835.463108047523</v>
      </c>
      <c r="G112" s="1">
        <f t="shared" si="5"/>
        <v>39106.914814206655</v>
      </c>
      <c r="H112" s="1" t="str">
        <f t="shared" si="6"/>
        <v/>
      </c>
      <c r="I112" s="1"/>
    </row>
    <row r="113" spans="1:9" x14ac:dyDescent="0.4">
      <c r="A113" s="2">
        <v>60500</v>
      </c>
      <c r="B113" s="34">
        <v>96901.321901718329</v>
      </c>
      <c r="C113" s="34">
        <v>96901.321901718329</v>
      </c>
      <c r="D113" s="34">
        <v>135270.13910441694</v>
      </c>
      <c r="E113" s="35">
        <v>158819.43691361806</v>
      </c>
      <c r="F113" s="44">
        <f t="shared" si="7"/>
        <v>96901.321901718329</v>
      </c>
      <c r="G113" s="1">
        <f t="shared" si="5"/>
        <v>38368.817202698614</v>
      </c>
      <c r="H113" s="1" t="str">
        <f t="shared" si="6"/>
        <v/>
      </c>
      <c r="I113" s="1"/>
    </row>
    <row r="114" spans="1:9" x14ac:dyDescent="0.4">
      <c r="A114" s="2">
        <v>61000</v>
      </c>
      <c r="B114" s="34">
        <v>97967.180695389179</v>
      </c>
      <c r="C114" s="34">
        <v>97967.180695389179</v>
      </c>
      <c r="D114" s="34">
        <v>135597.90028657977</v>
      </c>
      <c r="E114" s="35">
        <v>158819.43691361806</v>
      </c>
      <c r="F114" s="44">
        <f t="shared" si="7"/>
        <v>97967.180695389179</v>
      </c>
      <c r="G114" s="1">
        <f t="shared" si="5"/>
        <v>37630.719591190587</v>
      </c>
      <c r="H114" s="1" t="str">
        <f t="shared" si="6"/>
        <v/>
      </c>
      <c r="I114" s="1"/>
    </row>
    <row r="115" spans="1:9" x14ac:dyDescent="0.4">
      <c r="A115" s="2">
        <v>61500</v>
      </c>
      <c r="B115" s="34">
        <v>99033.039489059942</v>
      </c>
      <c r="C115" s="34">
        <v>99033.039489059942</v>
      </c>
      <c r="D115" s="34">
        <v>135925.66146874256</v>
      </c>
      <c r="E115" s="35">
        <v>158819.43691361806</v>
      </c>
      <c r="F115" s="44">
        <f t="shared" si="7"/>
        <v>99033.039489059942</v>
      </c>
      <c r="G115" s="1">
        <f t="shared" si="5"/>
        <v>36892.621979682619</v>
      </c>
      <c r="H115" s="1" t="str">
        <f t="shared" si="6"/>
        <v/>
      </c>
      <c r="I115" s="1"/>
    </row>
    <row r="116" spans="1:9" x14ac:dyDescent="0.4">
      <c r="A116" s="2">
        <v>62000</v>
      </c>
      <c r="B116" s="34">
        <v>100098.89828273073</v>
      </c>
      <c r="C116" s="34">
        <v>100098.89828273073</v>
      </c>
      <c r="D116" s="34">
        <v>136253.42265090533</v>
      </c>
      <c r="E116" s="35">
        <v>158819.43691361806</v>
      </c>
      <c r="F116" s="44">
        <f t="shared" si="7"/>
        <v>100098.89828273073</v>
      </c>
      <c r="G116" s="1">
        <f t="shared" si="5"/>
        <v>36154.524368174592</v>
      </c>
      <c r="H116" s="1" t="str">
        <f t="shared" si="6"/>
        <v/>
      </c>
      <c r="I116" s="1"/>
    </row>
    <row r="117" spans="1:9" x14ac:dyDescent="0.4">
      <c r="A117" s="2">
        <v>62500</v>
      </c>
      <c r="B117" s="34">
        <v>101164.75707640153</v>
      </c>
      <c r="C117" s="34">
        <v>101164.75707640153</v>
      </c>
      <c r="D117" s="34">
        <v>136581.18383306812</v>
      </c>
      <c r="E117" s="35">
        <v>158819.43691361806</v>
      </c>
      <c r="F117" s="44">
        <f t="shared" si="7"/>
        <v>101164.75707640153</v>
      </c>
      <c r="G117" s="1">
        <f t="shared" si="5"/>
        <v>35416.426756666595</v>
      </c>
      <c r="H117" s="1" t="str">
        <f t="shared" si="6"/>
        <v/>
      </c>
      <c r="I117" s="1"/>
    </row>
    <row r="118" spans="1:9" x14ac:dyDescent="0.4">
      <c r="A118" s="2">
        <v>63000</v>
      </c>
      <c r="B118" s="34">
        <v>102230.61587007235</v>
      </c>
      <c r="C118" s="34">
        <v>102230.61587007235</v>
      </c>
      <c r="D118" s="34">
        <v>136908.94501523089</v>
      </c>
      <c r="E118" s="35">
        <v>158819.43691361806</v>
      </c>
      <c r="F118" s="44">
        <f t="shared" si="7"/>
        <v>102230.61587007235</v>
      </c>
      <c r="G118" s="1">
        <f t="shared" si="5"/>
        <v>34678.329145158539</v>
      </c>
      <c r="H118" s="1" t="str">
        <f t="shared" si="6"/>
        <v/>
      </c>
      <c r="I118" s="1"/>
    </row>
    <row r="119" spans="1:9" x14ac:dyDescent="0.4">
      <c r="A119" s="2">
        <v>63500</v>
      </c>
      <c r="B119" s="34">
        <v>103296.47466374317</v>
      </c>
      <c r="C119" s="34">
        <v>103296.47466374317</v>
      </c>
      <c r="D119" s="34">
        <v>137236.70619739368</v>
      </c>
      <c r="E119" s="35">
        <v>158819.43691361806</v>
      </c>
      <c r="F119" s="44">
        <f t="shared" si="7"/>
        <v>103296.47466374317</v>
      </c>
      <c r="G119" s="1">
        <f t="shared" si="5"/>
        <v>33940.231533650513</v>
      </c>
      <c r="H119" s="1" t="str">
        <f t="shared" si="6"/>
        <v/>
      </c>
      <c r="I119" s="1"/>
    </row>
    <row r="120" spans="1:9" x14ac:dyDescent="0.4">
      <c r="A120" s="2">
        <v>64000</v>
      </c>
      <c r="B120" s="34">
        <v>104362.33345741396</v>
      </c>
      <c r="C120" s="34">
        <v>104362.33345741396</v>
      </c>
      <c r="D120" s="34">
        <v>137531.810117274</v>
      </c>
      <c r="E120" s="35">
        <v>158819.43691361806</v>
      </c>
      <c r="F120" s="44">
        <f t="shared" si="7"/>
        <v>104362.33345741396</v>
      </c>
      <c r="G120" s="1">
        <f t="shared" si="5"/>
        <v>33169.47665986004</v>
      </c>
      <c r="H120" s="1" t="str">
        <f t="shared" si="6"/>
        <v/>
      </c>
      <c r="I120" s="1"/>
    </row>
    <row r="121" spans="1:9" x14ac:dyDescent="0.4">
      <c r="A121" s="2">
        <v>64500</v>
      </c>
      <c r="B121" s="34">
        <v>105428.19225108478</v>
      </c>
      <c r="C121" s="34">
        <v>105428.19225108478</v>
      </c>
      <c r="D121" s="34">
        <v>137826.66455304218</v>
      </c>
      <c r="E121" s="35">
        <v>158819.43691361806</v>
      </c>
      <c r="F121" s="44">
        <f t="shared" si="7"/>
        <v>105428.19225108478</v>
      </c>
      <c r="G121" s="1">
        <f t="shared" si="5"/>
        <v>32398.472301957401</v>
      </c>
      <c r="H121" s="1" t="str">
        <f t="shared" si="6"/>
        <v/>
      </c>
      <c r="I121" s="1"/>
    </row>
    <row r="122" spans="1:9" x14ac:dyDescent="0.4">
      <c r="A122" s="2">
        <v>65000</v>
      </c>
      <c r="B122" s="34">
        <v>106494.05104475554</v>
      </c>
      <c r="C122" s="34">
        <v>106494.05104475554</v>
      </c>
      <c r="D122" s="34">
        <v>138121.51898881033</v>
      </c>
      <c r="E122" s="35">
        <v>158819.43691361806</v>
      </c>
      <c r="F122" s="44">
        <f t="shared" si="7"/>
        <v>106494.05104475554</v>
      </c>
      <c r="G122" s="1">
        <f t="shared" si="5"/>
        <v>31627.467944054792</v>
      </c>
      <c r="H122" s="1" t="str">
        <f t="shared" si="6"/>
        <v/>
      </c>
      <c r="I122" s="1"/>
    </row>
    <row r="123" spans="1:9" x14ac:dyDescent="0.4">
      <c r="A123" s="2">
        <v>65500</v>
      </c>
      <c r="B123" s="34">
        <v>107559.90983842636</v>
      </c>
      <c r="C123" s="34">
        <v>107559.90983842636</v>
      </c>
      <c r="D123" s="34">
        <v>138416.37342457852</v>
      </c>
      <c r="E123" s="35">
        <v>158819.43691361806</v>
      </c>
      <c r="F123" s="44">
        <f t="shared" si="7"/>
        <v>107559.90983842636</v>
      </c>
      <c r="G123" s="1">
        <f t="shared" si="5"/>
        <v>30856.463586152153</v>
      </c>
      <c r="H123" s="1" t="str">
        <f t="shared" si="6"/>
        <v/>
      </c>
      <c r="I123" s="1"/>
    </row>
    <row r="124" spans="1:9" x14ac:dyDescent="0.4">
      <c r="A124" s="2">
        <v>66000</v>
      </c>
      <c r="B124" s="34">
        <v>108625.76863209717</v>
      </c>
      <c r="C124" s="34">
        <v>108625.76863209717</v>
      </c>
      <c r="D124" s="34">
        <v>138711.2278603467</v>
      </c>
      <c r="E124" s="35">
        <v>158819.43691361806</v>
      </c>
      <c r="F124" s="44">
        <f t="shared" si="7"/>
        <v>108625.76863209717</v>
      </c>
      <c r="G124" s="1">
        <f t="shared" si="5"/>
        <v>30085.459228249529</v>
      </c>
      <c r="H124" s="1" t="str">
        <f t="shared" si="6"/>
        <v/>
      </c>
      <c r="I124" s="1"/>
    </row>
    <row r="125" spans="1:9" x14ac:dyDescent="0.4">
      <c r="A125" s="2">
        <v>66500</v>
      </c>
      <c r="B125" s="34">
        <v>109691.62742576796</v>
      </c>
      <c r="C125" s="34">
        <v>109691.62742576796</v>
      </c>
      <c r="D125" s="34">
        <v>139006.08229611482</v>
      </c>
      <c r="E125" s="35">
        <v>158819.43691361806</v>
      </c>
      <c r="F125" s="44">
        <f t="shared" si="7"/>
        <v>109691.62742576796</v>
      </c>
      <c r="G125" s="1">
        <f t="shared" si="5"/>
        <v>29314.454870346861</v>
      </c>
      <c r="H125" s="1" t="str">
        <f t="shared" si="6"/>
        <v/>
      </c>
      <c r="I125" s="1"/>
    </row>
    <row r="126" spans="1:9" x14ac:dyDescent="0.4">
      <c r="A126" s="2">
        <v>67000</v>
      </c>
      <c r="B126" s="34">
        <v>110757.4862194388</v>
      </c>
      <c r="C126" s="34">
        <v>110757.4862194388</v>
      </c>
      <c r="D126" s="34">
        <v>139300.936731883</v>
      </c>
      <c r="E126" s="35">
        <v>158819.43691361806</v>
      </c>
      <c r="F126" s="44">
        <f t="shared" si="7"/>
        <v>110757.4862194388</v>
      </c>
      <c r="G126" s="1">
        <f t="shared" si="5"/>
        <v>28543.450512444208</v>
      </c>
      <c r="H126" s="1" t="str">
        <f t="shared" si="6"/>
        <v/>
      </c>
      <c r="I126" s="1"/>
    </row>
    <row r="127" spans="1:9" x14ac:dyDescent="0.4">
      <c r="A127" s="2">
        <v>67500</v>
      </c>
      <c r="B127" s="34">
        <v>111823.34501310957</v>
      </c>
      <c r="C127" s="34">
        <v>111823.34501310957</v>
      </c>
      <c r="D127" s="34">
        <v>139595.79116765116</v>
      </c>
      <c r="E127" s="35">
        <v>158819.43691361806</v>
      </c>
      <c r="F127" s="44">
        <f t="shared" si="7"/>
        <v>111823.34501310957</v>
      </c>
      <c r="G127" s="1">
        <f t="shared" si="5"/>
        <v>27772.446154541583</v>
      </c>
      <c r="H127" s="1" t="str">
        <f t="shared" si="6"/>
        <v/>
      </c>
      <c r="I127" s="1"/>
    </row>
    <row r="128" spans="1:9" x14ac:dyDescent="0.4">
      <c r="A128" s="2">
        <v>68000</v>
      </c>
      <c r="B128" s="34">
        <v>112889.20380678042</v>
      </c>
      <c r="C128" s="34">
        <v>112889.20380678042</v>
      </c>
      <c r="D128" s="34">
        <v>139869.02287948568</v>
      </c>
      <c r="E128" s="35">
        <v>158819.43691361806</v>
      </c>
      <c r="F128" s="44">
        <f t="shared" si="7"/>
        <v>112889.20380678042</v>
      </c>
      <c r="G128" s="1">
        <f t="shared" si="5"/>
        <v>26979.819072705257</v>
      </c>
      <c r="H128" s="1" t="str">
        <f t="shared" si="6"/>
        <v/>
      </c>
      <c r="I128" s="1"/>
    </row>
    <row r="129" spans="1:9" x14ac:dyDescent="0.4">
      <c r="A129" s="2">
        <v>68500</v>
      </c>
      <c r="B129" s="34">
        <v>113955.0626004512</v>
      </c>
      <c r="C129" s="34">
        <v>113955.0626004512</v>
      </c>
      <c r="D129" s="34">
        <v>140132.55778552371</v>
      </c>
      <c r="E129" s="35">
        <v>158819.43691361806</v>
      </c>
      <c r="F129" s="44">
        <f t="shared" si="7"/>
        <v>113955.0626004512</v>
      </c>
      <c r="G129" s="1">
        <f t="shared" si="5"/>
        <v>26177.495185072505</v>
      </c>
      <c r="H129" s="1" t="str">
        <f t="shared" si="6"/>
        <v/>
      </c>
      <c r="I129" s="1"/>
    </row>
    <row r="130" spans="1:9" x14ac:dyDescent="0.4">
      <c r="A130" s="2">
        <v>69000</v>
      </c>
      <c r="B130" s="34">
        <v>115020.92139412199</v>
      </c>
      <c r="C130" s="34">
        <v>115020.92139412199</v>
      </c>
      <c r="D130" s="34">
        <v>140396.09269156176</v>
      </c>
      <c r="E130" s="35">
        <v>158819.43691361806</v>
      </c>
      <c r="F130" s="44">
        <f t="shared" si="7"/>
        <v>115020.92139412199</v>
      </c>
      <c r="G130" s="1">
        <f t="shared" ref="G130:G193" si="8">IF(AND(D130-C130&gt;0, D130&lt;E130), D130-C130, "")</f>
        <v>25375.171297439767</v>
      </c>
      <c r="H130" s="1" t="str">
        <f t="shared" ref="H130:H193" si="9">IF(AND(E130-D130&gt;0,D130&lt;C130,C130&gt;E130),E130-D130,IF(AND(E130-D130&gt;0,D130&lt;C130),C130-D130,""))</f>
        <v/>
      </c>
      <c r="I130" s="1"/>
    </row>
    <row r="131" spans="1:9" x14ac:dyDescent="0.4">
      <c r="A131" s="2">
        <v>69500</v>
      </c>
      <c r="B131" s="34">
        <v>116086.78018779277</v>
      </c>
      <c r="C131" s="34">
        <v>116086.78018779277</v>
      </c>
      <c r="D131" s="34">
        <v>140659.62759759981</v>
      </c>
      <c r="E131" s="35">
        <v>158819.43691361806</v>
      </c>
      <c r="F131" s="44">
        <f t="shared" ref="F131:F194" si="10">IF(G131&lt;&gt;"",C131, IF(H131&lt;&gt;"", D131, ""))</f>
        <v>116086.78018779277</v>
      </c>
      <c r="G131" s="1">
        <f t="shared" si="8"/>
        <v>24572.847409807044</v>
      </c>
      <c r="H131" s="1" t="str">
        <f t="shared" si="9"/>
        <v/>
      </c>
      <c r="I131" s="1"/>
    </row>
    <row r="132" spans="1:9" x14ac:dyDescent="0.4">
      <c r="A132" s="2">
        <v>70000</v>
      </c>
      <c r="B132" s="34">
        <v>117152.63898146356</v>
      </c>
      <c r="C132" s="34">
        <v>117152.63898146356</v>
      </c>
      <c r="D132" s="34">
        <v>140923.16250363787</v>
      </c>
      <c r="E132" s="35">
        <v>158819.43691361806</v>
      </c>
      <c r="F132" s="44">
        <f t="shared" si="10"/>
        <v>117152.63898146356</v>
      </c>
      <c r="G132" s="1">
        <f t="shared" si="8"/>
        <v>23770.523522174306</v>
      </c>
      <c r="H132" s="1" t="str">
        <f t="shared" si="9"/>
        <v/>
      </c>
      <c r="I132" s="1"/>
    </row>
    <row r="133" spans="1:9" x14ac:dyDescent="0.4">
      <c r="A133" s="2">
        <v>70500</v>
      </c>
      <c r="B133" s="34">
        <v>118218.49777513443</v>
      </c>
      <c r="C133" s="34">
        <v>118218.49777513443</v>
      </c>
      <c r="D133" s="34">
        <v>141186.69740967589</v>
      </c>
      <c r="E133" s="35">
        <v>158819.43691361806</v>
      </c>
      <c r="F133" s="44">
        <f t="shared" si="10"/>
        <v>118218.49777513443</v>
      </c>
      <c r="G133" s="1">
        <f t="shared" si="8"/>
        <v>22968.199634541466</v>
      </c>
      <c r="H133" s="1" t="str">
        <f t="shared" si="9"/>
        <v/>
      </c>
      <c r="I133" s="1"/>
    </row>
    <row r="134" spans="1:9" x14ac:dyDescent="0.4">
      <c r="A134" s="2">
        <v>71000</v>
      </c>
      <c r="B134" s="34">
        <v>119284.35656880519</v>
      </c>
      <c r="C134" s="34">
        <v>119284.35656880519</v>
      </c>
      <c r="D134" s="34">
        <v>141450.23231571398</v>
      </c>
      <c r="E134" s="35">
        <v>158819.43691361806</v>
      </c>
      <c r="F134" s="44">
        <f t="shared" si="10"/>
        <v>119284.35656880519</v>
      </c>
      <c r="G134" s="1">
        <f t="shared" si="8"/>
        <v>22165.875746908787</v>
      </c>
      <c r="H134" s="1" t="str">
        <f t="shared" si="9"/>
        <v/>
      </c>
      <c r="I134" s="1"/>
    </row>
    <row r="135" spans="1:9" x14ac:dyDescent="0.4">
      <c r="A135" s="2">
        <v>71500</v>
      </c>
      <c r="B135" s="34">
        <v>120350.21536247604</v>
      </c>
      <c r="C135" s="34">
        <v>120350.21536247604</v>
      </c>
      <c r="D135" s="34">
        <v>141713.767221752</v>
      </c>
      <c r="E135" s="35">
        <v>158819.43691361806</v>
      </c>
      <c r="F135" s="44">
        <f t="shared" si="10"/>
        <v>120350.21536247604</v>
      </c>
      <c r="G135" s="1">
        <f t="shared" si="8"/>
        <v>21363.551859275962</v>
      </c>
      <c r="H135" s="1" t="str">
        <f t="shared" si="9"/>
        <v/>
      </c>
      <c r="I135" s="1"/>
    </row>
    <row r="136" spans="1:9" x14ac:dyDescent="0.4">
      <c r="A136" s="2">
        <v>72000</v>
      </c>
      <c r="B136" s="34">
        <v>121416.07415614683</v>
      </c>
      <c r="C136" s="34">
        <v>121416.07415614683</v>
      </c>
      <c r="D136" s="34">
        <v>141977.30212779003</v>
      </c>
      <c r="E136" s="35">
        <v>158819.43691361806</v>
      </c>
      <c r="F136" s="44">
        <f t="shared" si="10"/>
        <v>121416.07415614683</v>
      </c>
      <c r="G136" s="1">
        <f t="shared" si="8"/>
        <v>20561.227971643195</v>
      </c>
      <c r="H136" s="1" t="str">
        <f t="shared" si="9"/>
        <v/>
      </c>
      <c r="I136" s="1"/>
    </row>
    <row r="137" spans="1:9" x14ac:dyDescent="0.4">
      <c r="A137" s="2">
        <v>72500</v>
      </c>
      <c r="B137" s="34">
        <v>122481.93294981765</v>
      </c>
      <c r="C137" s="34">
        <v>122481.93294981765</v>
      </c>
      <c r="D137" s="34">
        <v>142230.32344834134</v>
      </c>
      <c r="E137" s="35">
        <v>158819.43691361806</v>
      </c>
      <c r="F137" s="44">
        <f t="shared" si="10"/>
        <v>122481.93294981765</v>
      </c>
      <c r="G137" s="1">
        <f t="shared" si="8"/>
        <v>19748.390498523688</v>
      </c>
      <c r="H137" s="1" t="str">
        <f t="shared" si="9"/>
        <v/>
      </c>
      <c r="I137" s="1"/>
    </row>
    <row r="138" spans="1:9" x14ac:dyDescent="0.4">
      <c r="A138" s="2">
        <v>73000</v>
      </c>
      <c r="B138" s="34">
        <v>123547.79174348841</v>
      </c>
      <c r="C138" s="34">
        <v>123547.79174348841</v>
      </c>
      <c r="D138" s="34">
        <v>142464.14890378434</v>
      </c>
      <c r="E138" s="35">
        <v>158819.43691361806</v>
      </c>
      <c r="F138" s="44">
        <f t="shared" si="10"/>
        <v>123547.79174348841</v>
      </c>
      <c r="G138" s="1">
        <f t="shared" si="8"/>
        <v>18916.357160295927</v>
      </c>
      <c r="H138" s="1" t="str">
        <f t="shared" si="9"/>
        <v/>
      </c>
      <c r="I138" s="1"/>
    </row>
    <row r="139" spans="1:9" x14ac:dyDescent="0.4">
      <c r="A139" s="2">
        <v>73500</v>
      </c>
      <c r="B139" s="34">
        <v>124613.65053715926</v>
      </c>
      <c r="C139" s="34">
        <v>124613.65053715926</v>
      </c>
      <c r="D139" s="34">
        <v>142697.97435922732</v>
      </c>
      <c r="E139" s="35">
        <v>158819.43691361806</v>
      </c>
      <c r="F139" s="44">
        <f t="shared" si="10"/>
        <v>124613.65053715926</v>
      </c>
      <c r="G139" s="1">
        <f t="shared" si="8"/>
        <v>18084.323822068051</v>
      </c>
      <c r="H139" s="1" t="str">
        <f t="shared" si="9"/>
        <v/>
      </c>
      <c r="I139" s="1"/>
    </row>
    <row r="140" spans="1:9" x14ac:dyDescent="0.4">
      <c r="A140" s="2">
        <v>74000</v>
      </c>
      <c r="B140" s="34">
        <v>125679.50933083007</v>
      </c>
      <c r="C140" s="34">
        <v>125679.50933083007</v>
      </c>
      <c r="D140" s="34">
        <v>142931.79981467029</v>
      </c>
      <c r="E140" s="35">
        <v>158819.43691361806</v>
      </c>
      <c r="F140" s="44">
        <f t="shared" si="10"/>
        <v>125679.50933083007</v>
      </c>
      <c r="G140" s="1">
        <f t="shared" si="8"/>
        <v>17252.290483840217</v>
      </c>
      <c r="H140" s="1" t="str">
        <f t="shared" si="9"/>
        <v/>
      </c>
      <c r="I140" s="1"/>
    </row>
    <row r="141" spans="1:9" x14ac:dyDescent="0.4">
      <c r="A141" s="2">
        <v>74500</v>
      </c>
      <c r="B141" s="34">
        <v>126745.36812450085</v>
      </c>
      <c r="C141" s="34">
        <v>126745.36812450085</v>
      </c>
      <c r="D141" s="34">
        <v>143165.62527011323</v>
      </c>
      <c r="E141" s="35">
        <v>158819.43691361806</v>
      </c>
      <c r="F141" s="44">
        <f t="shared" si="10"/>
        <v>126745.36812450085</v>
      </c>
      <c r="G141" s="1">
        <f t="shared" si="8"/>
        <v>16420.257145612384</v>
      </c>
      <c r="H141" s="1" t="str">
        <f t="shared" si="9"/>
        <v/>
      </c>
      <c r="I141" s="1"/>
    </row>
    <row r="142" spans="1:9" x14ac:dyDescent="0.4">
      <c r="A142" s="2">
        <v>75000</v>
      </c>
      <c r="B142" s="34">
        <v>127811.22691817165</v>
      </c>
      <c r="C142" s="34">
        <v>127811.22691817165</v>
      </c>
      <c r="D142" s="34">
        <v>143399.45072555621</v>
      </c>
      <c r="E142" s="35">
        <v>158819.43691361806</v>
      </c>
      <c r="F142" s="44">
        <f t="shared" si="10"/>
        <v>127811.22691817165</v>
      </c>
      <c r="G142" s="1">
        <f t="shared" si="8"/>
        <v>15588.223807384551</v>
      </c>
      <c r="H142" s="1" t="str">
        <f t="shared" si="9"/>
        <v/>
      </c>
      <c r="I142" s="1"/>
    </row>
    <row r="143" spans="1:9" x14ac:dyDescent="0.4">
      <c r="A143" s="2">
        <v>75500</v>
      </c>
      <c r="B143" s="34">
        <v>128877.08571184245</v>
      </c>
      <c r="C143" s="34">
        <v>128877.08571184245</v>
      </c>
      <c r="D143" s="34">
        <v>143633.27618099918</v>
      </c>
      <c r="E143" s="35">
        <v>158819.43691361806</v>
      </c>
      <c r="F143" s="44">
        <f t="shared" si="10"/>
        <v>128877.08571184245</v>
      </c>
      <c r="G143" s="1">
        <f t="shared" si="8"/>
        <v>14756.190469156732</v>
      </c>
      <c r="H143" s="1" t="str">
        <f t="shared" si="9"/>
        <v/>
      </c>
      <c r="I143" s="1"/>
    </row>
    <row r="144" spans="1:9" x14ac:dyDescent="0.4">
      <c r="A144" s="2">
        <v>76000</v>
      </c>
      <c r="B144" s="34">
        <v>129942.94450551327</v>
      </c>
      <c r="C144" s="34">
        <v>129942.94450551327</v>
      </c>
      <c r="D144" s="34">
        <v>143867.10163644218</v>
      </c>
      <c r="E144" s="35">
        <v>158819.43691361806</v>
      </c>
      <c r="F144" s="44">
        <f t="shared" si="10"/>
        <v>129942.94450551327</v>
      </c>
      <c r="G144" s="1">
        <f t="shared" si="8"/>
        <v>13924.157130928914</v>
      </c>
      <c r="H144" s="1" t="str">
        <f t="shared" si="9"/>
        <v/>
      </c>
      <c r="I144" s="1"/>
    </row>
    <row r="145" spans="1:9" x14ac:dyDescent="0.4">
      <c r="A145" s="2">
        <v>76500</v>
      </c>
      <c r="B145" s="34">
        <v>131008.80329918407</v>
      </c>
      <c r="C145" s="34">
        <v>131008.80329918407</v>
      </c>
      <c r="D145" s="34">
        <v>144100.92709188515</v>
      </c>
      <c r="E145" s="35">
        <v>158819.43691361806</v>
      </c>
      <c r="F145" s="44">
        <f t="shared" si="10"/>
        <v>131008.80329918407</v>
      </c>
      <c r="G145" s="1">
        <f t="shared" si="8"/>
        <v>13092.123792701081</v>
      </c>
      <c r="H145" s="1" t="str">
        <f t="shared" si="9"/>
        <v/>
      </c>
      <c r="I145" s="1"/>
    </row>
    <row r="146" spans="1:9" x14ac:dyDescent="0.4">
      <c r="A146" s="2">
        <v>77000</v>
      </c>
      <c r="B146" s="34">
        <v>132074.66209285488</v>
      </c>
      <c r="C146" s="34">
        <v>132074.66209285488</v>
      </c>
      <c r="D146" s="34">
        <v>144334.7525473281</v>
      </c>
      <c r="E146" s="35">
        <v>158819.43691361806</v>
      </c>
      <c r="F146" s="44">
        <f t="shared" si="10"/>
        <v>132074.66209285488</v>
      </c>
      <c r="G146" s="1">
        <f t="shared" si="8"/>
        <v>12260.090454473218</v>
      </c>
      <c r="H146" s="1" t="str">
        <f t="shared" si="9"/>
        <v/>
      </c>
      <c r="I146" s="1"/>
    </row>
    <row r="147" spans="1:9" x14ac:dyDescent="0.4">
      <c r="A147" s="2">
        <v>77500</v>
      </c>
      <c r="B147" s="34">
        <v>133140.52088652566</v>
      </c>
      <c r="C147" s="34">
        <v>133140.52088652566</v>
      </c>
      <c r="D147" s="34">
        <v>144568.5780027711</v>
      </c>
      <c r="E147" s="35">
        <v>158819.43691361806</v>
      </c>
      <c r="F147" s="44">
        <f t="shared" si="10"/>
        <v>133140.52088652566</v>
      </c>
      <c r="G147" s="1">
        <f t="shared" si="8"/>
        <v>11428.057116245443</v>
      </c>
      <c r="H147" s="1" t="str">
        <f t="shared" si="9"/>
        <v/>
      </c>
      <c r="I147" s="1"/>
    </row>
    <row r="148" spans="1:9" x14ac:dyDescent="0.4">
      <c r="A148" s="2">
        <v>78000</v>
      </c>
      <c r="B148" s="34">
        <v>134206.37968019649</v>
      </c>
      <c r="C148" s="34">
        <v>134206.37968019649</v>
      </c>
      <c r="D148" s="34">
        <v>144780.61520992851</v>
      </c>
      <c r="E148" s="35">
        <v>158819.43691361806</v>
      </c>
      <c r="F148" s="44">
        <f t="shared" si="10"/>
        <v>134206.37968019649</v>
      </c>
      <c r="G148" s="1">
        <f t="shared" si="8"/>
        <v>10574.235529732017</v>
      </c>
      <c r="H148" s="1" t="str">
        <f t="shared" si="9"/>
        <v/>
      </c>
      <c r="I148" s="1"/>
    </row>
    <row r="149" spans="1:9" x14ac:dyDescent="0.4">
      <c r="A149" s="2">
        <v>78500</v>
      </c>
      <c r="B149" s="34">
        <v>135272.23847386733</v>
      </c>
      <c r="C149" s="34">
        <v>135272.23847386733</v>
      </c>
      <c r="D149" s="34">
        <v>144986.36508027569</v>
      </c>
      <c r="E149" s="35">
        <v>158819.43691361806</v>
      </c>
      <c r="F149" s="44">
        <f t="shared" si="10"/>
        <v>135272.23847386733</v>
      </c>
      <c r="G149" s="1">
        <f t="shared" si="8"/>
        <v>9714.1266064083611</v>
      </c>
      <c r="H149" s="1" t="str">
        <f t="shared" si="9"/>
        <v/>
      </c>
      <c r="I149" s="1"/>
    </row>
    <row r="150" spans="1:9" x14ac:dyDescent="0.4">
      <c r="A150" s="2">
        <v>79000</v>
      </c>
      <c r="B150" s="34">
        <v>136338.09726753813</v>
      </c>
      <c r="C150" s="34">
        <v>136338.09726753813</v>
      </c>
      <c r="D150" s="34">
        <v>145192.11495062281</v>
      </c>
      <c r="E150" s="35">
        <v>158819.43691361806</v>
      </c>
      <c r="F150" s="44">
        <f t="shared" si="10"/>
        <v>136338.09726753813</v>
      </c>
      <c r="G150" s="1">
        <f t="shared" si="8"/>
        <v>8854.0176830846758</v>
      </c>
      <c r="H150" s="1" t="str">
        <f t="shared" si="9"/>
        <v/>
      </c>
      <c r="I150" s="1"/>
    </row>
    <row r="151" spans="1:9" x14ac:dyDescent="0.4">
      <c r="A151" s="2">
        <v>79500</v>
      </c>
      <c r="B151" s="34">
        <v>137403.95606120888</v>
      </c>
      <c r="C151" s="34">
        <v>137403.95606120888</v>
      </c>
      <c r="D151" s="34">
        <v>145397.8648209699</v>
      </c>
      <c r="E151" s="35">
        <v>158819.43691361806</v>
      </c>
      <c r="F151" s="44">
        <f t="shared" si="10"/>
        <v>137403.95606120888</v>
      </c>
      <c r="G151" s="1">
        <f t="shared" si="8"/>
        <v>7993.9087597610196</v>
      </c>
      <c r="H151" s="1" t="str">
        <f t="shared" si="9"/>
        <v/>
      </c>
      <c r="I151" s="1"/>
    </row>
    <row r="152" spans="1:9" x14ac:dyDescent="0.4">
      <c r="A152" s="2">
        <v>80000</v>
      </c>
      <c r="B152" s="34">
        <v>138469.81485487975</v>
      </c>
      <c r="C152" s="34">
        <v>138469.81485487975</v>
      </c>
      <c r="D152" s="34">
        <v>145603.61469131705</v>
      </c>
      <c r="E152" s="35">
        <v>158819.43691361806</v>
      </c>
      <c r="F152" s="44">
        <f t="shared" si="10"/>
        <v>138469.81485487975</v>
      </c>
      <c r="G152" s="1">
        <f t="shared" si="8"/>
        <v>7133.7998364373052</v>
      </c>
      <c r="H152" s="1" t="str">
        <f t="shared" si="9"/>
        <v/>
      </c>
      <c r="I152" s="1"/>
    </row>
    <row r="153" spans="1:9" x14ac:dyDescent="0.4">
      <c r="A153" s="2">
        <v>80500</v>
      </c>
      <c r="B153" s="1">
        <v>139535.6736485505</v>
      </c>
      <c r="C153" s="1">
        <v>139535.6736485505</v>
      </c>
      <c r="D153" s="1">
        <v>145809.36456166417</v>
      </c>
      <c r="E153" s="1">
        <v>158819.43691361806</v>
      </c>
      <c r="F153" s="44">
        <f t="shared" si="10"/>
        <v>139535.6736485505</v>
      </c>
      <c r="G153" s="1">
        <f t="shared" si="8"/>
        <v>6273.6909131136781</v>
      </c>
      <c r="H153" s="1" t="str">
        <f t="shared" si="9"/>
        <v/>
      </c>
    </row>
    <row r="154" spans="1:9" x14ac:dyDescent="0.4">
      <c r="A154" s="2">
        <v>81000</v>
      </c>
      <c r="B154" s="1">
        <v>140601.5324422213</v>
      </c>
      <c r="C154" s="1">
        <v>140601.5324422213</v>
      </c>
      <c r="D154" s="1">
        <v>146015.11443201132</v>
      </c>
      <c r="E154" s="1">
        <v>158819.43691361806</v>
      </c>
      <c r="F154" s="44">
        <f t="shared" si="10"/>
        <v>140601.5324422213</v>
      </c>
      <c r="G154" s="1">
        <f t="shared" si="8"/>
        <v>5413.5819897900219</v>
      </c>
      <c r="H154" s="1" t="str">
        <f t="shared" si="9"/>
        <v/>
      </c>
    </row>
    <row r="155" spans="1:9" x14ac:dyDescent="0.4">
      <c r="A155" s="2">
        <v>81500</v>
      </c>
      <c r="B155" s="1">
        <v>141667.39123589214</v>
      </c>
      <c r="C155" s="1">
        <v>141667.39123589214</v>
      </c>
      <c r="D155" s="1">
        <v>146220.86430235842</v>
      </c>
      <c r="E155" s="1">
        <v>158819.43691361806</v>
      </c>
      <c r="F155" s="44">
        <f t="shared" si="10"/>
        <v>141667.39123589214</v>
      </c>
      <c r="G155" s="1">
        <f t="shared" si="8"/>
        <v>4553.4730664662784</v>
      </c>
      <c r="H155" s="1" t="str">
        <f t="shared" si="9"/>
        <v/>
      </c>
    </row>
    <row r="156" spans="1:9" x14ac:dyDescent="0.4">
      <c r="A156" s="2">
        <v>82000</v>
      </c>
      <c r="B156" s="1">
        <v>142733.25002956289</v>
      </c>
      <c r="C156" s="1">
        <v>142733.25002956289</v>
      </c>
      <c r="D156" s="1">
        <v>146426.61417270562</v>
      </c>
      <c r="E156" s="1">
        <v>158819.43691361806</v>
      </c>
      <c r="F156" s="44">
        <f t="shared" si="10"/>
        <v>142733.25002956289</v>
      </c>
      <c r="G156" s="1">
        <f t="shared" si="8"/>
        <v>3693.3641431427386</v>
      </c>
      <c r="H156" s="1" t="str">
        <f t="shared" si="9"/>
        <v/>
      </c>
    </row>
    <row r="157" spans="1:9" x14ac:dyDescent="0.4">
      <c r="A157" s="2">
        <v>82500</v>
      </c>
      <c r="B157" s="1">
        <v>143799.10882323369</v>
      </c>
      <c r="C157" s="1">
        <v>143799.10882323369</v>
      </c>
      <c r="D157" s="1">
        <v>146632.36404305272</v>
      </c>
      <c r="E157" s="1">
        <v>158819.43691361806</v>
      </c>
      <c r="F157" s="44">
        <f t="shared" si="10"/>
        <v>143799.10882323369</v>
      </c>
      <c r="G157" s="1">
        <f t="shared" si="8"/>
        <v>2833.2552198190242</v>
      </c>
      <c r="H157" s="1" t="str">
        <f t="shared" si="9"/>
        <v/>
      </c>
    </row>
    <row r="158" spans="1:9" x14ac:dyDescent="0.4">
      <c r="A158" s="2">
        <v>83000</v>
      </c>
      <c r="B158" s="1">
        <v>144864.96761690453</v>
      </c>
      <c r="C158" s="1">
        <v>144864.96761690453</v>
      </c>
      <c r="D158" s="1">
        <v>146838.11391339987</v>
      </c>
      <c r="E158" s="1">
        <v>158819.43691361806</v>
      </c>
      <c r="F158" s="44">
        <f t="shared" si="10"/>
        <v>144864.96761690453</v>
      </c>
      <c r="G158" s="1">
        <f t="shared" si="8"/>
        <v>1973.1462964953389</v>
      </c>
      <c r="H158" s="1" t="str">
        <f t="shared" si="9"/>
        <v/>
      </c>
    </row>
    <row r="159" spans="1:9" x14ac:dyDescent="0.4">
      <c r="A159" s="2">
        <v>83500</v>
      </c>
      <c r="B159" s="1">
        <v>145930.82641057533</v>
      </c>
      <c r="C159" s="1">
        <v>145930.82641057533</v>
      </c>
      <c r="D159" s="1">
        <v>147043.86378374705</v>
      </c>
      <c r="E159" s="1">
        <v>158819.43691361806</v>
      </c>
      <c r="F159" s="44">
        <f t="shared" si="10"/>
        <v>145930.82641057533</v>
      </c>
      <c r="G159" s="1">
        <f t="shared" si="8"/>
        <v>1113.0373731717118</v>
      </c>
      <c r="H159" s="1" t="str">
        <f t="shared" si="9"/>
        <v/>
      </c>
    </row>
    <row r="160" spans="1:9" x14ac:dyDescent="0.4">
      <c r="A160" s="2">
        <v>84000</v>
      </c>
      <c r="B160" s="1">
        <v>146996.68520424614</v>
      </c>
      <c r="C160" s="1">
        <v>146996.68520424614</v>
      </c>
      <c r="D160" s="1">
        <v>147231.35969079047</v>
      </c>
      <c r="E160" s="1">
        <v>158819.43691361806</v>
      </c>
      <c r="F160" s="44">
        <f t="shared" si="10"/>
        <v>146996.68520424614</v>
      </c>
      <c r="G160" s="1">
        <f t="shared" si="8"/>
        <v>234.67448654433247</v>
      </c>
      <c r="H160" s="1" t="str">
        <f t="shared" si="9"/>
        <v/>
      </c>
    </row>
    <row r="161" spans="1:8" x14ac:dyDescent="0.4">
      <c r="A161" s="2">
        <v>84500</v>
      </c>
      <c r="B161" s="1">
        <v>148062.54399791692</v>
      </c>
      <c r="C161" s="1">
        <v>148062.54399791692</v>
      </c>
      <c r="D161" s="1">
        <v>147410.6925772269</v>
      </c>
      <c r="E161" s="1">
        <v>158819.43691361806</v>
      </c>
      <c r="F161" s="44">
        <f t="shared" si="10"/>
        <v>147410.6925772269</v>
      </c>
      <c r="G161" s="1" t="str">
        <f t="shared" si="8"/>
        <v/>
      </c>
      <c r="H161" s="1">
        <f t="shared" si="9"/>
        <v>651.85142069001449</v>
      </c>
    </row>
    <row r="162" spans="1:8" x14ac:dyDescent="0.4">
      <c r="A162" s="2">
        <v>85000</v>
      </c>
      <c r="B162" s="1">
        <v>149128.40279158775</v>
      </c>
      <c r="C162" s="1">
        <v>149128.40279158775</v>
      </c>
      <c r="D162" s="1">
        <v>147590.02546366345</v>
      </c>
      <c r="E162" s="1">
        <v>158819.43691361806</v>
      </c>
      <c r="F162" s="44">
        <f t="shared" si="10"/>
        <v>147590.02546366345</v>
      </c>
      <c r="G162" s="1" t="str">
        <f t="shared" si="8"/>
        <v/>
      </c>
      <c r="H162" s="1">
        <f t="shared" si="9"/>
        <v>1538.3773279243032</v>
      </c>
    </row>
    <row r="163" spans="1:8" x14ac:dyDescent="0.4">
      <c r="A163" s="2">
        <v>85500</v>
      </c>
      <c r="B163" s="1">
        <v>150194.26158525853</v>
      </c>
      <c r="C163" s="1">
        <v>150194.26158525853</v>
      </c>
      <c r="D163" s="1">
        <v>147769.35835009988</v>
      </c>
      <c r="E163" s="1">
        <v>158819.43691361806</v>
      </c>
      <c r="F163" s="44">
        <f t="shared" si="10"/>
        <v>147769.35835009988</v>
      </c>
      <c r="G163" s="1" t="str">
        <f t="shared" si="8"/>
        <v/>
      </c>
      <c r="H163" s="1">
        <f t="shared" si="9"/>
        <v>2424.9032351586502</v>
      </c>
    </row>
    <row r="164" spans="1:8" x14ac:dyDescent="0.4">
      <c r="A164" s="2">
        <v>86000</v>
      </c>
      <c r="B164" s="1">
        <v>151260.12037892936</v>
      </c>
      <c r="C164" s="1">
        <v>151260.12037892936</v>
      </c>
      <c r="D164" s="1">
        <v>147948.6912365364</v>
      </c>
      <c r="E164" s="1">
        <v>158819.43691361806</v>
      </c>
      <c r="F164" s="44">
        <f t="shared" si="10"/>
        <v>147948.6912365364</v>
      </c>
      <c r="G164" s="1" t="str">
        <f t="shared" si="8"/>
        <v/>
      </c>
      <c r="H164" s="1">
        <f t="shared" si="9"/>
        <v>3311.4291423929681</v>
      </c>
    </row>
    <row r="165" spans="1:8" x14ac:dyDescent="0.4">
      <c r="A165" s="2">
        <v>86500</v>
      </c>
      <c r="B165" s="1">
        <v>152325.9791726002</v>
      </c>
      <c r="C165" s="1">
        <v>152325.9791726002</v>
      </c>
      <c r="D165" s="1">
        <v>148128.02412297289</v>
      </c>
      <c r="E165" s="1">
        <v>158819.43691361806</v>
      </c>
      <c r="F165" s="44">
        <f t="shared" si="10"/>
        <v>148128.02412297289</v>
      </c>
      <c r="G165" s="1" t="str">
        <f t="shared" si="8"/>
        <v/>
      </c>
      <c r="H165" s="1">
        <f t="shared" si="9"/>
        <v>4197.955049627315</v>
      </c>
    </row>
    <row r="166" spans="1:8" x14ac:dyDescent="0.4">
      <c r="A166" s="2">
        <v>87000</v>
      </c>
      <c r="B166" s="1">
        <v>153391.83796627098</v>
      </c>
      <c r="C166" s="1">
        <v>153391.83796627098</v>
      </c>
      <c r="D166" s="1">
        <v>148307.3570094094</v>
      </c>
      <c r="E166" s="1">
        <v>158819.43691361806</v>
      </c>
      <c r="F166" s="44">
        <f t="shared" si="10"/>
        <v>148307.3570094094</v>
      </c>
      <c r="G166" s="1" t="str">
        <f t="shared" si="8"/>
        <v/>
      </c>
      <c r="H166" s="1">
        <f t="shared" si="9"/>
        <v>5084.4809568615747</v>
      </c>
    </row>
    <row r="167" spans="1:8" x14ac:dyDescent="0.4">
      <c r="A167" s="2">
        <v>87500</v>
      </c>
      <c r="B167" s="1">
        <v>154457.69675994178</v>
      </c>
      <c r="C167" s="1">
        <v>154457.69675994178</v>
      </c>
      <c r="D167" s="1">
        <v>148486.68989584586</v>
      </c>
      <c r="E167" s="1">
        <v>158819.43691361806</v>
      </c>
      <c r="F167" s="44">
        <f t="shared" si="10"/>
        <v>148486.68989584586</v>
      </c>
      <c r="G167" s="1" t="str">
        <f t="shared" si="8"/>
        <v/>
      </c>
      <c r="H167" s="1">
        <f t="shared" si="9"/>
        <v>5971.0068640959216</v>
      </c>
    </row>
    <row r="168" spans="1:8" x14ac:dyDescent="0.4">
      <c r="A168" s="2">
        <v>88000</v>
      </c>
      <c r="B168" s="1">
        <v>155523.55555361256</v>
      </c>
      <c r="C168" s="1">
        <v>155523.55555361256</v>
      </c>
      <c r="D168" s="1">
        <v>148666.02278228235</v>
      </c>
      <c r="E168" s="1">
        <v>158819.43691361806</v>
      </c>
      <c r="F168" s="44">
        <f t="shared" si="10"/>
        <v>148666.02278228235</v>
      </c>
      <c r="G168" s="1" t="str">
        <f t="shared" si="8"/>
        <v/>
      </c>
      <c r="H168" s="1">
        <f t="shared" si="9"/>
        <v>6857.5327713302104</v>
      </c>
    </row>
    <row r="169" spans="1:8" x14ac:dyDescent="0.4">
      <c r="A169" s="2">
        <v>88500</v>
      </c>
      <c r="B169" s="1">
        <v>156589.41434728337</v>
      </c>
      <c r="C169" s="1">
        <v>156589.41434728337</v>
      </c>
      <c r="D169" s="1">
        <v>148845.35566871881</v>
      </c>
      <c r="E169" s="1">
        <v>158819.43691361806</v>
      </c>
      <c r="F169" s="44">
        <f t="shared" si="10"/>
        <v>148845.35566871881</v>
      </c>
      <c r="G169" s="1" t="str">
        <f t="shared" si="8"/>
        <v/>
      </c>
      <c r="H169" s="1">
        <f t="shared" si="9"/>
        <v>7744.0586785645573</v>
      </c>
    </row>
    <row r="170" spans="1:8" x14ac:dyDescent="0.4">
      <c r="A170" s="2">
        <v>89000</v>
      </c>
      <c r="B170" s="1">
        <v>157655.27314095417</v>
      </c>
      <c r="C170" s="1">
        <v>157655.27314095417</v>
      </c>
      <c r="D170" s="1">
        <v>149024.68855515527</v>
      </c>
      <c r="E170" s="1">
        <v>158819.43691361806</v>
      </c>
      <c r="F170" s="44">
        <f t="shared" si="10"/>
        <v>149024.68855515527</v>
      </c>
      <c r="G170" s="1" t="str">
        <f t="shared" si="8"/>
        <v/>
      </c>
      <c r="H170" s="1">
        <f t="shared" si="9"/>
        <v>8630.5845857989043</v>
      </c>
    </row>
    <row r="171" spans="1:8" x14ac:dyDescent="0.4">
      <c r="A171" s="2">
        <v>89500</v>
      </c>
      <c r="B171" s="1">
        <v>158721.13193462495</v>
      </c>
      <c r="C171" s="1">
        <v>158721.13193462495</v>
      </c>
      <c r="D171" s="1">
        <v>149204.02144159179</v>
      </c>
      <c r="E171" s="1">
        <v>158819.43691361806</v>
      </c>
      <c r="F171" s="44">
        <f t="shared" si="10"/>
        <v>149204.02144159179</v>
      </c>
      <c r="G171" s="1" t="str">
        <f t="shared" si="8"/>
        <v/>
      </c>
      <c r="H171" s="1">
        <f t="shared" si="9"/>
        <v>9517.1104930331639</v>
      </c>
    </row>
    <row r="172" spans="1:8" x14ac:dyDescent="0.4">
      <c r="A172" s="2">
        <v>90000</v>
      </c>
      <c r="B172" s="1">
        <v>159786.99072829579</v>
      </c>
      <c r="C172" s="1">
        <v>159786.99072829579</v>
      </c>
      <c r="D172" s="1">
        <v>149383.35432802828</v>
      </c>
      <c r="E172" s="1">
        <v>158819.43691361806</v>
      </c>
      <c r="F172" s="44">
        <f t="shared" si="10"/>
        <v>149383.35432802828</v>
      </c>
      <c r="G172" s="1" t="str">
        <f t="shared" si="8"/>
        <v/>
      </c>
      <c r="H172" s="1">
        <f t="shared" si="9"/>
        <v>9436.0825855897856</v>
      </c>
    </row>
    <row r="173" spans="1:8" x14ac:dyDescent="0.4">
      <c r="A173" s="2">
        <v>90500</v>
      </c>
      <c r="B173" s="1">
        <v>160852.84952196662</v>
      </c>
      <c r="C173" s="1">
        <v>160852.84952196662</v>
      </c>
      <c r="D173" s="1">
        <v>149562.68721446476</v>
      </c>
      <c r="E173" s="1">
        <v>158819.43691361806</v>
      </c>
      <c r="F173" s="44">
        <f t="shared" si="10"/>
        <v>149562.68721446476</v>
      </c>
      <c r="G173" s="1" t="str">
        <f t="shared" si="8"/>
        <v/>
      </c>
      <c r="H173" s="1">
        <f t="shared" si="9"/>
        <v>9256.7496991532971</v>
      </c>
    </row>
    <row r="174" spans="1:8" x14ac:dyDescent="0.4">
      <c r="A174" s="2">
        <v>91000</v>
      </c>
      <c r="B174" s="1">
        <v>161918.70831563743</v>
      </c>
      <c r="C174" s="1">
        <v>161918.70831563743</v>
      </c>
      <c r="D174" s="1">
        <v>149723.44749751448</v>
      </c>
      <c r="E174" s="1">
        <v>158819.43691361806</v>
      </c>
      <c r="F174" s="44">
        <f t="shared" si="10"/>
        <v>149723.44749751448</v>
      </c>
      <c r="G174" s="1" t="str">
        <f t="shared" si="8"/>
        <v/>
      </c>
      <c r="H174" s="1">
        <f t="shared" si="9"/>
        <v>9095.9894161035772</v>
      </c>
    </row>
    <row r="175" spans="1:8" x14ac:dyDescent="0.4">
      <c r="A175" s="2">
        <v>91500</v>
      </c>
      <c r="B175" s="1">
        <v>162984.56710930818</v>
      </c>
      <c r="C175" s="1">
        <v>162984.56710930818</v>
      </c>
      <c r="D175" s="1">
        <v>149878.04771244631</v>
      </c>
      <c r="E175" s="1">
        <v>158819.43691361806</v>
      </c>
      <c r="F175" s="44">
        <f t="shared" si="10"/>
        <v>149878.04771244631</v>
      </c>
      <c r="G175" s="1" t="str">
        <f t="shared" si="8"/>
        <v/>
      </c>
      <c r="H175" s="1">
        <f t="shared" si="9"/>
        <v>8941.3892011717544</v>
      </c>
    </row>
    <row r="176" spans="1:8" x14ac:dyDescent="0.4">
      <c r="A176" s="2">
        <v>92000</v>
      </c>
      <c r="B176" s="1">
        <v>164050.42590297895</v>
      </c>
      <c r="C176" s="1">
        <v>164050.42590297895</v>
      </c>
      <c r="D176" s="1">
        <v>150032.6479273781</v>
      </c>
      <c r="E176" s="1">
        <v>158819.43691361806</v>
      </c>
      <c r="F176" s="44">
        <f t="shared" si="10"/>
        <v>150032.6479273781</v>
      </c>
      <c r="G176" s="1" t="str">
        <f t="shared" si="8"/>
        <v/>
      </c>
      <c r="H176" s="1">
        <f t="shared" si="9"/>
        <v>8786.7889862399606</v>
      </c>
    </row>
    <row r="177" spans="1:8" x14ac:dyDescent="0.4">
      <c r="A177" s="2">
        <v>92500</v>
      </c>
      <c r="B177" s="1">
        <v>165116.28469664985</v>
      </c>
      <c r="C177" s="1">
        <v>165116.28469664985</v>
      </c>
      <c r="D177" s="1">
        <v>150187.24814230984</v>
      </c>
      <c r="E177" s="1">
        <v>158819.43691361806</v>
      </c>
      <c r="F177" s="44">
        <f t="shared" si="10"/>
        <v>150187.24814230984</v>
      </c>
      <c r="G177" s="1" t="str">
        <f t="shared" si="8"/>
        <v/>
      </c>
      <c r="H177" s="1">
        <f t="shared" si="9"/>
        <v>8632.1887713082251</v>
      </c>
    </row>
    <row r="178" spans="1:8" x14ac:dyDescent="0.4">
      <c r="A178" s="2">
        <v>93000</v>
      </c>
      <c r="B178" s="1">
        <v>166182.1434903206</v>
      </c>
      <c r="C178" s="1">
        <v>166182.1434903206</v>
      </c>
      <c r="D178" s="1">
        <v>150341.84835724166</v>
      </c>
      <c r="E178" s="1">
        <v>158819.43691361806</v>
      </c>
      <c r="F178" s="44">
        <f t="shared" si="10"/>
        <v>150341.84835724166</v>
      </c>
      <c r="G178" s="1" t="str">
        <f t="shared" si="8"/>
        <v/>
      </c>
      <c r="H178" s="1">
        <f t="shared" si="9"/>
        <v>8477.5885563764023</v>
      </c>
    </row>
    <row r="179" spans="1:8" x14ac:dyDescent="0.4">
      <c r="A179" s="2">
        <v>93500</v>
      </c>
      <c r="B179" s="1">
        <v>167248.0022839914</v>
      </c>
      <c r="C179" s="1">
        <v>167248.0022839914</v>
      </c>
      <c r="D179" s="1">
        <v>150496.44857217342</v>
      </c>
      <c r="E179" s="1">
        <v>158819.43691361806</v>
      </c>
      <c r="F179" s="44">
        <f t="shared" si="10"/>
        <v>150496.44857217342</v>
      </c>
      <c r="G179" s="1" t="str">
        <f t="shared" si="8"/>
        <v/>
      </c>
      <c r="H179" s="1">
        <f t="shared" si="9"/>
        <v>8322.9883414446376</v>
      </c>
    </row>
    <row r="180" spans="1:8" x14ac:dyDescent="0.4">
      <c r="A180" s="2">
        <v>94000</v>
      </c>
      <c r="B180" s="1">
        <v>168313.86107766227</v>
      </c>
      <c r="C180" s="1">
        <v>168313.86107766227</v>
      </c>
      <c r="D180" s="1">
        <v>150651.04878710525</v>
      </c>
      <c r="E180" s="1">
        <v>158819.43691361806</v>
      </c>
      <c r="F180" s="44">
        <f t="shared" si="10"/>
        <v>150651.04878710525</v>
      </c>
      <c r="G180" s="1" t="str">
        <f t="shared" si="8"/>
        <v/>
      </c>
      <c r="H180" s="1">
        <f t="shared" si="9"/>
        <v>8168.3881265128148</v>
      </c>
    </row>
    <row r="181" spans="1:8" x14ac:dyDescent="0.4">
      <c r="A181" s="2">
        <v>94500</v>
      </c>
      <c r="B181" s="1">
        <v>169379.71987133304</v>
      </c>
      <c r="C181" s="1">
        <v>169379.71987133304</v>
      </c>
      <c r="D181" s="1">
        <v>150805.64900203707</v>
      </c>
      <c r="E181" s="1">
        <v>158819.43691361806</v>
      </c>
      <c r="F181" s="44">
        <f t="shared" si="10"/>
        <v>150805.64900203707</v>
      </c>
      <c r="G181" s="1" t="str">
        <f t="shared" si="8"/>
        <v/>
      </c>
      <c r="H181" s="1">
        <f t="shared" si="9"/>
        <v>8013.7879115809919</v>
      </c>
    </row>
    <row r="182" spans="1:8" x14ac:dyDescent="0.4">
      <c r="A182" s="2">
        <v>95000</v>
      </c>
      <c r="B182" s="1">
        <v>170445.57866500382</v>
      </c>
      <c r="C182" s="1">
        <v>170445.57866500382</v>
      </c>
      <c r="D182" s="1">
        <v>150960.2492169688</v>
      </c>
      <c r="E182" s="1">
        <v>158819.43691361806</v>
      </c>
      <c r="F182" s="44">
        <f t="shared" si="10"/>
        <v>150960.2492169688</v>
      </c>
      <c r="G182" s="1" t="str">
        <f t="shared" si="8"/>
        <v/>
      </c>
      <c r="H182" s="1">
        <f t="shared" si="9"/>
        <v>7859.1876966492564</v>
      </c>
    </row>
    <row r="183" spans="1:8" x14ac:dyDescent="0.4">
      <c r="A183" s="2">
        <v>95500</v>
      </c>
      <c r="B183" s="1">
        <v>171511.4374586746</v>
      </c>
      <c r="C183" s="1">
        <v>171511.4374586746</v>
      </c>
      <c r="D183" s="1">
        <v>151114.84943190066</v>
      </c>
      <c r="E183" s="1">
        <v>158819.43691361806</v>
      </c>
      <c r="F183" s="44">
        <f t="shared" si="10"/>
        <v>151114.84943190066</v>
      </c>
      <c r="G183" s="1" t="str">
        <f t="shared" si="8"/>
        <v/>
      </c>
      <c r="H183" s="1">
        <f t="shared" si="9"/>
        <v>7704.5874817174044</v>
      </c>
    </row>
    <row r="184" spans="1:8" x14ac:dyDescent="0.4">
      <c r="A184" s="2">
        <v>96000</v>
      </c>
      <c r="B184" s="1">
        <v>172577.2962523454</v>
      </c>
      <c r="C184" s="1">
        <v>172577.2962523454</v>
      </c>
      <c r="D184" s="1">
        <v>151269.44964683245</v>
      </c>
      <c r="E184" s="1">
        <v>158819.43691361806</v>
      </c>
      <c r="F184" s="44">
        <f t="shared" si="10"/>
        <v>151269.44964683245</v>
      </c>
      <c r="G184" s="1" t="str">
        <f t="shared" si="8"/>
        <v/>
      </c>
      <c r="H184" s="1">
        <f t="shared" si="9"/>
        <v>7549.9872667856107</v>
      </c>
    </row>
    <row r="185" spans="1:8" x14ac:dyDescent="0.4">
      <c r="A185" s="2">
        <v>96500</v>
      </c>
      <c r="B185" s="1">
        <v>173643.15504601627</v>
      </c>
      <c r="C185" s="1">
        <v>173643.15504601627</v>
      </c>
      <c r="D185" s="1">
        <v>151424.04986176424</v>
      </c>
      <c r="E185" s="1">
        <v>158819.43691361806</v>
      </c>
      <c r="F185" s="44">
        <f t="shared" si="10"/>
        <v>151424.04986176424</v>
      </c>
      <c r="G185" s="1" t="str">
        <f t="shared" si="8"/>
        <v/>
      </c>
      <c r="H185" s="1">
        <f t="shared" si="9"/>
        <v>7395.387051853817</v>
      </c>
    </row>
    <row r="186" spans="1:8" x14ac:dyDescent="0.4">
      <c r="A186" s="2">
        <v>97000</v>
      </c>
      <c r="B186" s="1">
        <v>174153.17756712853</v>
      </c>
      <c r="C186" s="1">
        <v>174153.17756712853</v>
      </c>
      <c r="D186" s="1">
        <v>151578.65007669604</v>
      </c>
      <c r="E186" s="1">
        <v>158819.43691361806</v>
      </c>
      <c r="F186" s="44">
        <f t="shared" si="10"/>
        <v>151578.65007669604</v>
      </c>
      <c r="G186" s="1" t="str">
        <f t="shared" si="8"/>
        <v/>
      </c>
      <c r="H186" s="1">
        <f t="shared" si="9"/>
        <v>7240.7868369220232</v>
      </c>
    </row>
    <row r="187" spans="1:8" x14ac:dyDescent="0.4">
      <c r="A187" s="2">
        <v>97500</v>
      </c>
      <c r="B187" s="1">
        <v>174003.3066322669</v>
      </c>
      <c r="C187" s="1">
        <v>174003.3066322669</v>
      </c>
      <c r="D187" s="1">
        <v>151733.2502916278</v>
      </c>
      <c r="E187" s="1">
        <v>158819.43691361806</v>
      </c>
      <c r="F187" s="44">
        <f t="shared" si="10"/>
        <v>151733.2502916278</v>
      </c>
      <c r="G187" s="1" t="str">
        <f t="shared" si="8"/>
        <v/>
      </c>
      <c r="H187" s="1">
        <f t="shared" si="9"/>
        <v>7086.1866219902586</v>
      </c>
    </row>
    <row r="188" spans="1:8" x14ac:dyDescent="0.4">
      <c r="A188" s="2">
        <v>98000</v>
      </c>
      <c r="B188" s="1">
        <v>173853.43569740513</v>
      </c>
      <c r="C188" s="1">
        <v>173853.43569740513</v>
      </c>
      <c r="D188" s="1">
        <v>151887.85050655963</v>
      </c>
      <c r="E188" s="1">
        <v>158819.43691361806</v>
      </c>
      <c r="F188" s="44">
        <f t="shared" si="10"/>
        <v>151887.85050655963</v>
      </c>
      <c r="G188" s="1" t="str">
        <f t="shared" si="8"/>
        <v/>
      </c>
      <c r="H188" s="1">
        <f t="shared" si="9"/>
        <v>6931.5864070584357</v>
      </c>
    </row>
    <row r="189" spans="1:8" x14ac:dyDescent="0.4">
      <c r="A189" s="2">
        <v>98500</v>
      </c>
      <c r="B189" s="1">
        <v>173703.56476254348</v>
      </c>
      <c r="C189" s="1">
        <v>173703.56476254348</v>
      </c>
      <c r="D189" s="1">
        <v>152042.45072149142</v>
      </c>
      <c r="E189" s="1">
        <v>158819.43691361806</v>
      </c>
      <c r="F189" s="44">
        <f t="shared" si="10"/>
        <v>152042.45072149142</v>
      </c>
      <c r="G189" s="1" t="str">
        <f t="shared" si="8"/>
        <v/>
      </c>
      <c r="H189" s="1">
        <f t="shared" si="9"/>
        <v>6776.986192126642</v>
      </c>
    </row>
    <row r="190" spans="1:8" x14ac:dyDescent="0.4">
      <c r="A190" s="2">
        <v>99000</v>
      </c>
      <c r="B190" s="1">
        <v>173553.69382768185</v>
      </c>
      <c r="C190" s="1">
        <v>173553.69382768185</v>
      </c>
      <c r="D190" s="1">
        <v>152185.71973211507</v>
      </c>
      <c r="E190" s="1">
        <v>158819.43691361806</v>
      </c>
      <c r="F190" s="44">
        <f t="shared" si="10"/>
        <v>152185.71973211507</v>
      </c>
      <c r="G190" s="1" t="str">
        <f t="shared" si="8"/>
        <v/>
      </c>
      <c r="H190" s="1">
        <f t="shared" si="9"/>
        <v>6633.7171815029869</v>
      </c>
    </row>
    <row r="191" spans="1:8" x14ac:dyDescent="0.4">
      <c r="A191" s="2">
        <v>99500</v>
      </c>
      <c r="B191" s="1">
        <v>173403.8228928202</v>
      </c>
      <c r="C191" s="1">
        <v>173403.8228928202</v>
      </c>
      <c r="D191" s="1">
        <v>152317.29830172495</v>
      </c>
      <c r="E191" s="1">
        <v>158819.43691361806</v>
      </c>
      <c r="F191" s="44">
        <f t="shared" si="10"/>
        <v>152317.29830172495</v>
      </c>
      <c r="G191" s="1" t="str">
        <f t="shared" si="8"/>
        <v/>
      </c>
      <c r="H191" s="1">
        <f t="shared" si="9"/>
        <v>6502.1386118931114</v>
      </c>
    </row>
    <row r="192" spans="1:8" x14ac:dyDescent="0.4">
      <c r="A192" s="2">
        <v>100000</v>
      </c>
      <c r="B192" s="1">
        <v>173253.9519579586</v>
      </c>
      <c r="C192" s="1">
        <v>173253.9519579586</v>
      </c>
      <c r="D192" s="1">
        <v>152448.87687133477</v>
      </c>
      <c r="E192" s="1">
        <v>158819.43691361806</v>
      </c>
      <c r="F192" s="44">
        <f t="shared" si="10"/>
        <v>152448.87687133477</v>
      </c>
      <c r="G192" s="1" t="str">
        <f t="shared" si="8"/>
        <v/>
      </c>
      <c r="H192" s="1">
        <f t="shared" si="9"/>
        <v>6370.560042283294</v>
      </c>
    </row>
    <row r="193" spans="1:8" x14ac:dyDescent="0.4">
      <c r="A193" s="2">
        <v>100500</v>
      </c>
      <c r="B193" s="1">
        <v>173104.08102309695</v>
      </c>
      <c r="C193" s="1">
        <v>173104.08102309695</v>
      </c>
      <c r="D193" s="1">
        <v>152580.45544094461</v>
      </c>
      <c r="E193" s="1">
        <v>158819.43691361806</v>
      </c>
      <c r="F193" s="44">
        <f t="shared" si="10"/>
        <v>152580.45544094461</v>
      </c>
      <c r="G193" s="1" t="str">
        <f t="shared" si="8"/>
        <v/>
      </c>
      <c r="H193" s="1">
        <f t="shared" si="9"/>
        <v>6238.9814726734476</v>
      </c>
    </row>
    <row r="194" spans="1:8" x14ac:dyDescent="0.4">
      <c r="A194" s="2">
        <v>101000</v>
      </c>
      <c r="B194" s="1">
        <v>172954.21008823524</v>
      </c>
      <c r="C194" s="1">
        <v>172954.21008823524</v>
      </c>
      <c r="D194" s="1">
        <v>152712.0340105544</v>
      </c>
      <c r="E194" s="1">
        <v>158819.43691361806</v>
      </c>
      <c r="F194" s="44">
        <f t="shared" si="10"/>
        <v>152712.0340105544</v>
      </c>
      <c r="G194" s="1" t="str">
        <f t="shared" ref="G194:G232" si="11">IF(AND(D194-C194&gt;0, D194&lt;E194), D194-C194, "")</f>
        <v/>
      </c>
      <c r="H194" s="1">
        <f t="shared" ref="H194:H232" si="12">IF(AND(E194-D194&gt;0,D194&lt;C194,C194&gt;E194),E194-D194,IF(AND(E194-D194&gt;0,D194&lt;C194),C194-D194,""))</f>
        <v>6107.4029030636593</v>
      </c>
    </row>
    <row r="195" spans="1:8" x14ac:dyDescent="0.4">
      <c r="A195" s="2">
        <v>101500</v>
      </c>
      <c r="B195" s="1">
        <v>172819.83805444816</v>
      </c>
      <c r="C195" s="1">
        <v>172819.83805444816</v>
      </c>
      <c r="D195" s="1">
        <v>152843.61258016428</v>
      </c>
      <c r="E195" s="1">
        <v>158819.43691361806</v>
      </c>
      <c r="F195" s="44">
        <f t="shared" ref="F195:F232" si="13">IF(G195&lt;&gt;"",C195, IF(H195&lt;&gt;"", D195, ""))</f>
        <v>152843.61258016428</v>
      </c>
      <c r="G195" s="1" t="str">
        <f t="shared" si="11"/>
        <v/>
      </c>
      <c r="H195" s="1">
        <f t="shared" si="12"/>
        <v>5975.8243334537838</v>
      </c>
    </row>
    <row r="196" spans="1:8" x14ac:dyDescent="0.4">
      <c r="A196" s="2">
        <v>102000</v>
      </c>
      <c r="B196" s="1">
        <v>172686.03448231169</v>
      </c>
      <c r="C196" s="1">
        <v>172686.03448231169</v>
      </c>
      <c r="D196" s="1">
        <v>152975.19114977409</v>
      </c>
      <c r="E196" s="1">
        <v>158819.43691361806</v>
      </c>
      <c r="F196" s="44">
        <f t="shared" si="13"/>
        <v>152975.19114977409</v>
      </c>
      <c r="G196" s="1" t="str">
        <f t="shared" si="11"/>
        <v/>
      </c>
      <c r="H196" s="1">
        <f t="shared" si="12"/>
        <v>5844.2457638439664</v>
      </c>
    </row>
    <row r="197" spans="1:8" x14ac:dyDescent="0.4">
      <c r="A197" s="2">
        <v>102500</v>
      </c>
      <c r="B197" s="1">
        <v>172552.23091017528</v>
      </c>
      <c r="C197" s="1">
        <v>172552.23091017528</v>
      </c>
      <c r="D197" s="1">
        <v>153106.76971938391</v>
      </c>
      <c r="E197" s="1">
        <v>158819.43691361806</v>
      </c>
      <c r="F197" s="44">
        <f t="shared" si="13"/>
        <v>153106.76971938391</v>
      </c>
      <c r="G197" s="1" t="str">
        <f t="shared" si="11"/>
        <v/>
      </c>
      <c r="H197" s="1">
        <f t="shared" si="12"/>
        <v>5712.6671942341491</v>
      </c>
    </row>
    <row r="198" spans="1:8" x14ac:dyDescent="0.4">
      <c r="A198" s="2">
        <v>103000</v>
      </c>
      <c r="B198" s="1">
        <v>172418.42733803889</v>
      </c>
      <c r="C198" s="1">
        <v>172418.42733803889</v>
      </c>
      <c r="D198" s="1">
        <v>153238.34828899376</v>
      </c>
      <c r="E198" s="1">
        <v>158819.43691361806</v>
      </c>
      <c r="F198" s="44">
        <f t="shared" si="13"/>
        <v>153238.34828899376</v>
      </c>
      <c r="G198" s="1" t="str">
        <f t="shared" si="11"/>
        <v/>
      </c>
      <c r="H198" s="1">
        <f t="shared" si="12"/>
        <v>5581.0886246243026</v>
      </c>
    </row>
    <row r="199" spans="1:8" x14ac:dyDescent="0.4">
      <c r="A199" s="2">
        <v>103500</v>
      </c>
      <c r="B199" s="1">
        <v>172284.62376590242</v>
      </c>
      <c r="C199" s="1">
        <v>172284.62376590242</v>
      </c>
      <c r="D199" s="1">
        <v>153369.92685860355</v>
      </c>
      <c r="E199" s="1">
        <v>158819.43691361806</v>
      </c>
      <c r="F199" s="44">
        <f t="shared" si="13"/>
        <v>153369.92685860355</v>
      </c>
      <c r="G199" s="1" t="str">
        <f t="shared" si="11"/>
        <v/>
      </c>
      <c r="H199" s="1">
        <f t="shared" si="12"/>
        <v>5449.5100550145144</v>
      </c>
    </row>
    <row r="200" spans="1:8" x14ac:dyDescent="0.4">
      <c r="A200" s="2">
        <v>104000</v>
      </c>
      <c r="B200" s="1">
        <v>172150.82019376606</v>
      </c>
      <c r="C200" s="1">
        <v>172150.82019376606</v>
      </c>
      <c r="D200" s="1">
        <v>153501.50542821345</v>
      </c>
      <c r="E200" s="1">
        <v>158819.43691361806</v>
      </c>
      <c r="F200" s="44">
        <f t="shared" si="13"/>
        <v>153501.50542821345</v>
      </c>
      <c r="G200" s="1" t="str">
        <f t="shared" si="11"/>
        <v/>
      </c>
      <c r="H200" s="1">
        <f t="shared" si="12"/>
        <v>5317.9314854046097</v>
      </c>
    </row>
    <row r="201" spans="1:8" x14ac:dyDescent="0.4">
      <c r="A201" s="2">
        <v>104500</v>
      </c>
      <c r="B201" s="1">
        <v>172017.01662162974</v>
      </c>
      <c r="C201" s="1">
        <v>172017.01662162974</v>
      </c>
      <c r="D201" s="1">
        <v>153633.08399782321</v>
      </c>
      <c r="E201" s="1">
        <v>158819.43691361806</v>
      </c>
      <c r="F201" s="44">
        <f t="shared" si="13"/>
        <v>153633.08399782321</v>
      </c>
      <c r="G201" s="1" t="str">
        <f t="shared" si="11"/>
        <v/>
      </c>
      <c r="H201" s="1">
        <f t="shared" si="12"/>
        <v>5186.3529157948506</v>
      </c>
    </row>
    <row r="202" spans="1:8" x14ac:dyDescent="0.4">
      <c r="A202" s="2">
        <v>105000</v>
      </c>
      <c r="B202" s="1">
        <v>171883.21304949326</v>
      </c>
      <c r="C202" s="1">
        <v>171883.21304949326</v>
      </c>
      <c r="D202" s="1">
        <v>153764.66256743306</v>
      </c>
      <c r="E202" s="1">
        <v>158819.43691361806</v>
      </c>
      <c r="F202" s="44">
        <f t="shared" si="13"/>
        <v>153764.66256743306</v>
      </c>
      <c r="G202" s="1" t="str">
        <f t="shared" si="11"/>
        <v/>
      </c>
      <c r="H202" s="1">
        <f t="shared" si="12"/>
        <v>5054.7743461850041</v>
      </c>
    </row>
    <row r="203" spans="1:8" x14ac:dyDescent="0.4">
      <c r="A203" s="2">
        <v>105500</v>
      </c>
      <c r="B203" s="1">
        <v>171749.40947735685</v>
      </c>
      <c r="C203" s="1">
        <v>171749.40947735685</v>
      </c>
      <c r="D203" s="1">
        <v>153896.2411370429</v>
      </c>
      <c r="E203" s="1">
        <v>158819.43691361806</v>
      </c>
      <c r="F203" s="44">
        <f t="shared" si="13"/>
        <v>153896.2411370429</v>
      </c>
      <c r="G203" s="1" t="str">
        <f t="shared" si="11"/>
        <v/>
      </c>
      <c r="H203" s="1">
        <f t="shared" si="12"/>
        <v>4923.1957765751577</v>
      </c>
    </row>
    <row r="204" spans="1:8" x14ac:dyDescent="0.4">
      <c r="A204" s="2">
        <v>106000</v>
      </c>
      <c r="B204" s="1">
        <v>171623.93953566402</v>
      </c>
      <c r="C204" s="1">
        <v>171623.93953566402</v>
      </c>
      <c r="D204" s="1">
        <v>154027.81970665269</v>
      </c>
      <c r="E204" s="1">
        <v>158819.43691361806</v>
      </c>
      <c r="F204" s="44">
        <f t="shared" si="13"/>
        <v>154027.81970665269</v>
      </c>
      <c r="G204" s="1" t="str">
        <f t="shared" si="11"/>
        <v/>
      </c>
      <c r="H204" s="1">
        <f t="shared" si="12"/>
        <v>4791.6172069653694</v>
      </c>
    </row>
    <row r="205" spans="1:8" x14ac:dyDescent="0.4">
      <c r="A205" s="2">
        <v>106500</v>
      </c>
      <c r="B205" s="1">
        <v>171505.17837122473</v>
      </c>
      <c r="C205" s="1">
        <v>171505.17837122473</v>
      </c>
      <c r="D205" s="1">
        <v>154159.39827626254</v>
      </c>
      <c r="E205" s="1">
        <v>158819.43691361806</v>
      </c>
      <c r="F205" s="44">
        <f t="shared" si="13"/>
        <v>154159.39827626254</v>
      </c>
      <c r="G205" s="1" t="str">
        <f t="shared" si="11"/>
        <v/>
      </c>
      <c r="H205" s="1">
        <f t="shared" si="12"/>
        <v>4660.038637355523</v>
      </c>
    </row>
    <row r="206" spans="1:8" x14ac:dyDescent="0.4">
      <c r="A206" s="2">
        <v>107000</v>
      </c>
      <c r="B206" s="1">
        <v>171386.41720678538</v>
      </c>
      <c r="C206" s="1">
        <v>171386.41720678538</v>
      </c>
      <c r="D206" s="1">
        <v>154290.97684587236</v>
      </c>
      <c r="E206" s="1">
        <v>158819.43691361806</v>
      </c>
      <c r="F206" s="44">
        <f t="shared" si="13"/>
        <v>154290.97684587236</v>
      </c>
      <c r="G206" s="1" t="str">
        <f t="shared" si="11"/>
        <v/>
      </c>
      <c r="H206" s="1">
        <f t="shared" si="12"/>
        <v>4528.4600677457056</v>
      </c>
    </row>
    <row r="207" spans="1:8" x14ac:dyDescent="0.4">
      <c r="A207" s="2">
        <v>107500</v>
      </c>
      <c r="B207" s="1">
        <v>171267.65604234609</v>
      </c>
      <c r="C207" s="1">
        <v>171267.65604234609</v>
      </c>
      <c r="D207" s="1">
        <v>154422.5554154822</v>
      </c>
      <c r="E207" s="1">
        <v>158819.43691361806</v>
      </c>
      <c r="F207" s="44">
        <f t="shared" si="13"/>
        <v>154422.5554154822</v>
      </c>
      <c r="G207" s="1" t="str">
        <f t="shared" si="11"/>
        <v/>
      </c>
      <c r="H207" s="1">
        <f t="shared" si="12"/>
        <v>4396.8814981358591</v>
      </c>
    </row>
    <row r="208" spans="1:8" x14ac:dyDescent="0.4">
      <c r="A208" s="2">
        <v>108000</v>
      </c>
      <c r="B208" s="1">
        <v>171148.8948779068</v>
      </c>
      <c r="C208" s="1">
        <v>171148.8948779068</v>
      </c>
      <c r="D208" s="1">
        <v>154554.13398509202</v>
      </c>
      <c r="E208" s="1">
        <v>158819.43691361806</v>
      </c>
      <c r="F208" s="44">
        <f t="shared" si="13"/>
        <v>154554.13398509202</v>
      </c>
      <c r="G208" s="1" t="str">
        <f t="shared" si="11"/>
        <v/>
      </c>
      <c r="H208" s="1">
        <f t="shared" si="12"/>
        <v>4265.3029285260418</v>
      </c>
    </row>
    <row r="209" spans="1:8" x14ac:dyDescent="0.4">
      <c r="A209" s="2">
        <v>108500</v>
      </c>
      <c r="B209" s="1">
        <v>171030.13371346734</v>
      </c>
      <c r="C209" s="1">
        <v>171030.13371346734</v>
      </c>
      <c r="D209" s="1">
        <v>154679.70040933249</v>
      </c>
      <c r="E209" s="1">
        <v>158819.43691361806</v>
      </c>
      <c r="F209" s="44">
        <f t="shared" si="13"/>
        <v>154679.70040933249</v>
      </c>
      <c r="G209" s="1" t="str">
        <f t="shared" si="11"/>
        <v/>
      </c>
      <c r="H209" s="1">
        <f t="shared" si="12"/>
        <v>4139.7365042855672</v>
      </c>
    </row>
    <row r="210" spans="1:8" x14ac:dyDescent="0.4">
      <c r="A210" s="2">
        <v>109000</v>
      </c>
      <c r="B210" s="1">
        <v>170911.37254902805</v>
      </c>
      <c r="C210" s="1">
        <v>170911.37254902805</v>
      </c>
      <c r="D210" s="1">
        <v>154789.99610398925</v>
      </c>
      <c r="E210" s="1">
        <v>158819.43691361806</v>
      </c>
      <c r="F210" s="44">
        <f t="shared" si="13"/>
        <v>154789.99610398925</v>
      </c>
      <c r="G210" s="1" t="str">
        <f t="shared" si="11"/>
        <v/>
      </c>
      <c r="H210" s="1">
        <f t="shared" si="12"/>
        <v>4029.4408096288098</v>
      </c>
    </row>
    <row r="211" spans="1:8" x14ac:dyDescent="0.4">
      <c r="A211" s="2">
        <v>109500</v>
      </c>
      <c r="B211" s="1">
        <v>170792.61138458876</v>
      </c>
      <c r="C211" s="1">
        <v>170792.61138458876</v>
      </c>
      <c r="D211" s="1">
        <v>154900.29179864598</v>
      </c>
      <c r="E211" s="1">
        <v>158819.43691361806</v>
      </c>
      <c r="F211" s="44">
        <f t="shared" si="13"/>
        <v>154900.29179864598</v>
      </c>
      <c r="G211" s="1" t="str">
        <f t="shared" si="11"/>
        <v/>
      </c>
      <c r="H211" s="1">
        <f t="shared" si="12"/>
        <v>3919.1451149720815</v>
      </c>
    </row>
    <row r="212" spans="1:8" x14ac:dyDescent="0.4">
      <c r="A212" s="2">
        <v>110000</v>
      </c>
      <c r="B212" s="1">
        <v>170673.85022014938</v>
      </c>
      <c r="C212" s="1">
        <v>170673.85022014938</v>
      </c>
      <c r="D212" s="1">
        <v>155010.58749330277</v>
      </c>
      <c r="E212" s="1">
        <v>158819.43691361806</v>
      </c>
      <c r="F212" s="44">
        <f t="shared" si="13"/>
        <v>155010.58749330277</v>
      </c>
      <c r="G212" s="1" t="str">
        <f t="shared" si="11"/>
        <v/>
      </c>
      <c r="H212" s="1">
        <f t="shared" si="12"/>
        <v>3808.849420315295</v>
      </c>
    </row>
    <row r="213" spans="1:8" x14ac:dyDescent="0.4">
      <c r="A213" s="2">
        <v>110500</v>
      </c>
      <c r="B213" s="1">
        <v>170555.08905571006</v>
      </c>
      <c r="C213" s="1">
        <v>170555.08905571006</v>
      </c>
      <c r="D213" s="1">
        <v>155120.88318795952</v>
      </c>
      <c r="E213" s="1">
        <v>158819.43691361806</v>
      </c>
      <c r="F213" s="44">
        <f t="shared" si="13"/>
        <v>155120.88318795952</v>
      </c>
      <c r="G213" s="1" t="str">
        <f t="shared" si="11"/>
        <v/>
      </c>
      <c r="H213" s="1">
        <f t="shared" si="12"/>
        <v>3698.5537256585376</v>
      </c>
    </row>
    <row r="214" spans="1:8" x14ac:dyDescent="0.4">
      <c r="A214" s="2">
        <v>111000</v>
      </c>
      <c r="B214" s="1">
        <v>170437.22602224286</v>
      </c>
      <c r="C214" s="1">
        <v>170437.22602224286</v>
      </c>
      <c r="D214" s="1">
        <v>155231.17888261634</v>
      </c>
      <c r="E214" s="1">
        <v>158819.43691361806</v>
      </c>
      <c r="F214" s="44">
        <f t="shared" si="13"/>
        <v>155231.17888261634</v>
      </c>
      <c r="G214" s="1" t="str">
        <f t="shared" si="11"/>
        <v/>
      </c>
      <c r="H214" s="1">
        <f t="shared" si="12"/>
        <v>3588.258031001722</v>
      </c>
    </row>
    <row r="215" spans="1:8" x14ac:dyDescent="0.4">
      <c r="A215" s="2">
        <v>111500</v>
      </c>
      <c r="B215" s="1">
        <v>170332.50424976021</v>
      </c>
      <c r="C215" s="1">
        <v>170332.50424976021</v>
      </c>
      <c r="D215" s="1">
        <v>155341.47457727307</v>
      </c>
      <c r="E215" s="1">
        <v>158819.43691361806</v>
      </c>
      <c r="F215" s="44">
        <f t="shared" si="13"/>
        <v>155341.47457727307</v>
      </c>
      <c r="G215" s="1" t="str">
        <f t="shared" si="11"/>
        <v/>
      </c>
      <c r="H215" s="1">
        <f t="shared" si="12"/>
        <v>3477.9623363449937</v>
      </c>
    </row>
    <row r="216" spans="1:8" x14ac:dyDescent="0.4">
      <c r="A216" s="2">
        <v>112000</v>
      </c>
      <c r="B216" s="1">
        <v>170227.78247727753</v>
      </c>
      <c r="C216" s="1">
        <v>170227.78247727753</v>
      </c>
      <c r="D216" s="1">
        <v>155451.7702719298</v>
      </c>
      <c r="E216" s="1">
        <v>158819.43691361806</v>
      </c>
      <c r="F216" s="44">
        <f t="shared" si="13"/>
        <v>155451.7702719298</v>
      </c>
      <c r="G216" s="1" t="str">
        <f t="shared" si="11"/>
        <v/>
      </c>
      <c r="H216" s="1">
        <f t="shared" si="12"/>
        <v>3367.6666416882654</v>
      </c>
    </row>
    <row r="217" spans="1:8" x14ac:dyDescent="0.4">
      <c r="A217" s="2">
        <v>112500</v>
      </c>
      <c r="B217" s="1">
        <v>170123.06070479486</v>
      </c>
      <c r="C217" s="1">
        <v>170123.06070479486</v>
      </c>
      <c r="D217" s="1">
        <v>155562.06596658658</v>
      </c>
      <c r="E217" s="1">
        <v>158819.43691361806</v>
      </c>
      <c r="F217" s="44">
        <f t="shared" si="13"/>
        <v>155562.06596658658</v>
      </c>
      <c r="G217" s="1" t="str">
        <f t="shared" si="11"/>
        <v/>
      </c>
      <c r="H217" s="1">
        <f t="shared" si="12"/>
        <v>3257.3709470314789</v>
      </c>
    </row>
    <row r="218" spans="1:8" x14ac:dyDescent="0.4">
      <c r="A218" s="2">
        <v>113000</v>
      </c>
      <c r="B218" s="1">
        <v>170018.33893231215</v>
      </c>
      <c r="C218" s="1">
        <v>170018.33893231215</v>
      </c>
      <c r="D218" s="1">
        <v>155672.36166124331</v>
      </c>
      <c r="E218" s="1">
        <v>158819.43691361806</v>
      </c>
      <c r="F218" s="44">
        <f t="shared" si="13"/>
        <v>155672.36166124331</v>
      </c>
      <c r="G218" s="1" t="str">
        <f t="shared" si="11"/>
        <v/>
      </c>
      <c r="H218" s="1">
        <f t="shared" si="12"/>
        <v>3147.0752523747506</v>
      </c>
    </row>
    <row r="219" spans="1:8" x14ac:dyDescent="0.4">
      <c r="A219" s="2">
        <v>113500</v>
      </c>
      <c r="B219" s="1">
        <v>169913.61715982942</v>
      </c>
      <c r="C219" s="1">
        <v>169913.61715982942</v>
      </c>
      <c r="D219" s="1">
        <v>155782.6573559001</v>
      </c>
      <c r="E219" s="1">
        <v>158819.43691361806</v>
      </c>
      <c r="F219" s="44">
        <f t="shared" si="13"/>
        <v>155782.6573559001</v>
      </c>
      <c r="G219" s="1" t="str">
        <f t="shared" si="11"/>
        <v/>
      </c>
      <c r="H219" s="1">
        <f t="shared" si="12"/>
        <v>3036.7795577179641</v>
      </c>
    </row>
    <row r="220" spans="1:8" x14ac:dyDescent="0.4">
      <c r="A220" s="2">
        <v>114000</v>
      </c>
      <c r="B220" s="1">
        <v>169808.89538734683</v>
      </c>
      <c r="C220" s="1">
        <v>169808.89538734683</v>
      </c>
      <c r="D220" s="1">
        <v>155892.95305055685</v>
      </c>
      <c r="E220" s="1">
        <v>158819.43691361806</v>
      </c>
      <c r="F220" s="44">
        <f t="shared" si="13"/>
        <v>155892.95305055685</v>
      </c>
      <c r="G220" s="1" t="str">
        <f t="shared" si="11"/>
        <v/>
      </c>
      <c r="H220" s="1">
        <f t="shared" si="12"/>
        <v>2926.4838630612066</v>
      </c>
    </row>
    <row r="221" spans="1:8" x14ac:dyDescent="0.4">
      <c r="A221" s="2">
        <v>114500</v>
      </c>
      <c r="B221" s="1">
        <v>169704.17361486406</v>
      </c>
      <c r="C221" s="1">
        <v>169704.17361486406</v>
      </c>
      <c r="D221" s="1">
        <v>156003.24874521358</v>
      </c>
      <c r="E221" s="1">
        <v>158819.43691361806</v>
      </c>
      <c r="F221" s="44">
        <f t="shared" si="13"/>
        <v>156003.24874521358</v>
      </c>
      <c r="G221" s="1" t="str">
        <f t="shared" si="11"/>
        <v/>
      </c>
      <c r="H221" s="1">
        <f t="shared" si="12"/>
        <v>2816.1881684044783</v>
      </c>
    </row>
    <row r="222" spans="1:8" x14ac:dyDescent="0.4">
      <c r="A222" s="2">
        <v>115000</v>
      </c>
      <c r="B222" s="1">
        <v>169599.45184238147</v>
      </c>
      <c r="C222" s="1">
        <v>169599.45184238147</v>
      </c>
      <c r="D222" s="1">
        <v>156113.5444398704</v>
      </c>
      <c r="E222" s="1">
        <v>158819.43691361806</v>
      </c>
      <c r="F222" s="44">
        <f t="shared" si="13"/>
        <v>156113.5444398704</v>
      </c>
      <c r="G222" s="1" t="str">
        <f t="shared" si="11"/>
        <v/>
      </c>
      <c r="H222" s="1">
        <f t="shared" si="12"/>
        <v>2705.8924737476627</v>
      </c>
    </row>
    <row r="223" spans="1:8" x14ac:dyDescent="0.4">
      <c r="A223" s="2">
        <v>115500</v>
      </c>
      <c r="B223" s="1">
        <v>169494.73006989877</v>
      </c>
      <c r="C223" s="1">
        <v>169494.73006989877</v>
      </c>
      <c r="D223" s="1">
        <v>156223.84013452716</v>
      </c>
      <c r="E223" s="1">
        <v>158819.43691361806</v>
      </c>
      <c r="F223" s="44">
        <f t="shared" si="13"/>
        <v>156223.84013452716</v>
      </c>
      <c r="G223" s="1" t="str">
        <f t="shared" si="11"/>
        <v/>
      </c>
      <c r="H223" s="1">
        <f t="shared" si="12"/>
        <v>2595.5967790909053</v>
      </c>
    </row>
    <row r="224" spans="1:8" x14ac:dyDescent="0.4">
      <c r="A224" s="2">
        <v>116000</v>
      </c>
      <c r="B224" s="1">
        <v>169390.00829741609</v>
      </c>
      <c r="C224" s="1">
        <v>169390.00829741609</v>
      </c>
      <c r="D224" s="1">
        <v>156334.13582918394</v>
      </c>
      <c r="E224" s="1">
        <v>158819.43691361806</v>
      </c>
      <c r="F224" s="44">
        <f t="shared" si="13"/>
        <v>156334.13582918394</v>
      </c>
      <c r="G224" s="1" t="str">
        <f t="shared" si="11"/>
        <v/>
      </c>
      <c r="H224" s="1">
        <f t="shared" si="12"/>
        <v>2485.3010844341188</v>
      </c>
    </row>
    <row r="225" spans="1:8" x14ac:dyDescent="0.4">
      <c r="A225" s="2">
        <v>116500</v>
      </c>
      <c r="B225" s="1">
        <v>169285.28652493336</v>
      </c>
      <c r="C225" s="1">
        <v>169285.28652493336</v>
      </c>
      <c r="D225" s="1">
        <v>156444.43152384064</v>
      </c>
      <c r="E225" s="1">
        <v>158819.43691361806</v>
      </c>
      <c r="F225" s="44">
        <f t="shared" si="13"/>
        <v>156444.43152384064</v>
      </c>
      <c r="G225" s="1" t="str">
        <f t="shared" si="11"/>
        <v/>
      </c>
      <c r="H225" s="1">
        <f t="shared" si="12"/>
        <v>2375.0053897774196</v>
      </c>
    </row>
    <row r="226" spans="1:8" x14ac:dyDescent="0.4">
      <c r="A226" s="2">
        <v>117000</v>
      </c>
      <c r="B226" s="1">
        <v>169184.3877933209</v>
      </c>
      <c r="C226" s="1">
        <v>169184.3877933209</v>
      </c>
      <c r="D226" s="1">
        <v>156554.7272184974</v>
      </c>
      <c r="E226" s="1">
        <v>158819.43691361806</v>
      </c>
      <c r="F226" s="44">
        <f t="shared" si="13"/>
        <v>156554.7272184974</v>
      </c>
      <c r="G226" s="1" t="str">
        <f t="shared" si="11"/>
        <v/>
      </c>
      <c r="H226" s="1">
        <f t="shared" si="12"/>
        <v>2264.7096951206622</v>
      </c>
    </row>
    <row r="227" spans="1:8" x14ac:dyDescent="0.4">
      <c r="A227" s="2">
        <v>117500</v>
      </c>
      <c r="B227" s="1">
        <v>169092.72395763514</v>
      </c>
      <c r="C227" s="1">
        <v>169092.72395763514</v>
      </c>
      <c r="D227" s="1">
        <v>156665.02291315419</v>
      </c>
      <c r="E227" s="1">
        <v>158819.43691361806</v>
      </c>
      <c r="F227" s="44">
        <f t="shared" si="13"/>
        <v>156665.02291315419</v>
      </c>
      <c r="G227" s="1" t="str">
        <f t="shared" si="11"/>
        <v/>
      </c>
      <c r="H227" s="1">
        <f t="shared" si="12"/>
        <v>2154.4140004638757</v>
      </c>
    </row>
    <row r="228" spans="1:8" x14ac:dyDescent="0.4">
      <c r="A228" s="2">
        <v>118000</v>
      </c>
      <c r="B228" s="1">
        <v>169001.0601219495</v>
      </c>
      <c r="C228" s="1">
        <v>169001.0601219495</v>
      </c>
      <c r="D228" s="1">
        <v>156775.31860781097</v>
      </c>
      <c r="E228" s="1">
        <v>158819.43691361806</v>
      </c>
      <c r="F228" s="44">
        <f t="shared" si="13"/>
        <v>156775.31860781097</v>
      </c>
      <c r="G228" s="1" t="str">
        <f t="shared" si="11"/>
        <v/>
      </c>
      <c r="H228" s="1">
        <f t="shared" si="12"/>
        <v>2044.1183058070892</v>
      </c>
    </row>
    <row r="229" spans="1:8" x14ac:dyDescent="0.4">
      <c r="A229" s="2">
        <v>118500</v>
      </c>
      <c r="B229" s="1">
        <v>168909.39628626371</v>
      </c>
      <c r="C229" s="1">
        <v>168909.39628626371</v>
      </c>
      <c r="D229" s="1">
        <v>156885.6143024677</v>
      </c>
      <c r="E229" s="1">
        <v>158819.43691361806</v>
      </c>
      <c r="F229" s="44">
        <f t="shared" si="13"/>
        <v>156885.6143024677</v>
      </c>
      <c r="G229" s="1" t="str">
        <f t="shared" si="11"/>
        <v/>
      </c>
      <c r="H229" s="1">
        <f t="shared" si="12"/>
        <v>1933.8226111503609</v>
      </c>
    </row>
    <row r="230" spans="1:8" x14ac:dyDescent="0.4">
      <c r="A230" s="2">
        <v>119000</v>
      </c>
      <c r="B230" s="1">
        <v>168817.73245057816</v>
      </c>
      <c r="C230" s="1">
        <v>168817.73245057816</v>
      </c>
      <c r="D230" s="1">
        <v>156995.90999712446</v>
      </c>
      <c r="E230" s="1">
        <v>158819.43691361806</v>
      </c>
      <c r="F230" s="44">
        <f t="shared" si="13"/>
        <v>156995.90999712446</v>
      </c>
      <c r="G230" s="1" t="str">
        <f t="shared" si="11"/>
        <v/>
      </c>
      <c r="H230" s="1">
        <f t="shared" si="12"/>
        <v>1823.5269164936035</v>
      </c>
    </row>
    <row r="231" spans="1:8" x14ac:dyDescent="0.4">
      <c r="A231" s="2">
        <v>119500</v>
      </c>
      <c r="B231" s="1">
        <v>168726.06861489234</v>
      </c>
      <c r="C231" s="1">
        <v>168726.06861489234</v>
      </c>
      <c r="D231" s="1">
        <v>157106.20569178127</v>
      </c>
      <c r="E231" s="1">
        <v>158819.43691361806</v>
      </c>
      <c r="F231" s="44">
        <f t="shared" si="13"/>
        <v>157106.20569178127</v>
      </c>
      <c r="G231" s="1" t="str">
        <f t="shared" si="11"/>
        <v/>
      </c>
      <c r="H231" s="1">
        <f t="shared" si="12"/>
        <v>1713.2312218367879</v>
      </c>
    </row>
    <row r="232" spans="1:8" x14ac:dyDescent="0.4">
      <c r="A232" s="2">
        <v>120000</v>
      </c>
      <c r="B232" s="1">
        <v>168634.4047792067</v>
      </c>
      <c r="C232" s="1">
        <v>168634.4047792067</v>
      </c>
      <c r="D232" s="1">
        <v>157211.88446865394</v>
      </c>
      <c r="E232" s="1">
        <v>158819.43691361806</v>
      </c>
      <c r="F232" s="44">
        <f t="shared" si="13"/>
        <v>157211.88446865394</v>
      </c>
      <c r="G232" s="1" t="str">
        <f t="shared" si="11"/>
        <v/>
      </c>
      <c r="H232" s="1">
        <f t="shared" si="12"/>
        <v>1607.5524449641234</v>
      </c>
    </row>
    <row r="233" spans="1:8" x14ac:dyDescent="0.4">
      <c r="A233" s="2"/>
    </row>
    <row r="234" spans="1:8" x14ac:dyDescent="0.4">
      <c r="A234" s="2"/>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52"/>
  <sheetViews>
    <sheetView zoomScale="70" zoomScaleNormal="70" workbookViewId="0">
      <selection sqref="A1:A1048576"/>
    </sheetView>
  </sheetViews>
  <sheetFormatPr defaultRowHeight="19.5" x14ac:dyDescent="0.4"/>
  <cols>
    <col min="1" max="1" width="16.375" customWidth="1"/>
    <col min="2" max="3" width="11.875" style="37" customWidth="1"/>
    <col min="4" max="4" width="11.125" style="37" customWidth="1"/>
    <col min="5" max="5" width="16.125" style="37" customWidth="1"/>
    <col min="7" max="7" width="18.125" customWidth="1"/>
  </cols>
  <sheetData>
    <row r="1" spans="1:9" x14ac:dyDescent="0.4">
      <c r="A1" t="s">
        <v>16</v>
      </c>
      <c r="B1" s="37" t="s">
        <v>17</v>
      </c>
      <c r="C1" s="37" t="s">
        <v>14</v>
      </c>
      <c r="D1" s="37" t="s">
        <v>27</v>
      </c>
      <c r="E1" s="37" t="s">
        <v>15</v>
      </c>
      <c r="G1" s="3" t="s">
        <v>32</v>
      </c>
      <c r="H1" s="3"/>
    </row>
    <row r="2" spans="1:9" x14ac:dyDescent="0.4">
      <c r="A2" s="2">
        <v>1</v>
      </c>
      <c r="B2" s="34">
        <v>1.0472236440978102</v>
      </c>
      <c r="C2" s="34">
        <v>1.0087378640776574</v>
      </c>
      <c r="D2" s="35">
        <v>1.1695406199542369</v>
      </c>
      <c r="E2" s="35">
        <v>1.0318096191322035</v>
      </c>
      <c r="F2" s="1"/>
      <c r="G2" s="3" t="s">
        <v>33</v>
      </c>
      <c r="H2" s="36">
        <f>Sheet1!P6</f>
        <v>91000</v>
      </c>
      <c r="I2" s="3"/>
    </row>
    <row r="3" spans="1:9" x14ac:dyDescent="0.4">
      <c r="A3" s="2">
        <v>500</v>
      </c>
      <c r="B3" s="34">
        <v>523.61182204890486</v>
      </c>
      <c r="C3" s="34">
        <v>504.36893203883494</v>
      </c>
      <c r="D3" s="35">
        <v>584.77030997711847</v>
      </c>
      <c r="E3" s="35">
        <v>515.90480956610179</v>
      </c>
      <c r="F3" s="1"/>
      <c r="G3" s="3" t="s">
        <v>34</v>
      </c>
    </row>
    <row r="4" spans="1:9" x14ac:dyDescent="0.4">
      <c r="A4" s="2">
        <v>1000</v>
      </c>
      <c r="B4" s="34">
        <v>1047.2236440978097</v>
      </c>
      <c r="C4" s="34">
        <v>1008.7378640776699</v>
      </c>
      <c r="D4" s="35">
        <v>1169.5406199542369</v>
      </c>
      <c r="E4" s="35">
        <v>1031.8096191322036</v>
      </c>
      <c r="F4" s="1"/>
    </row>
    <row r="5" spans="1:9" x14ac:dyDescent="0.4">
      <c r="A5" s="2">
        <v>1500</v>
      </c>
      <c r="B5" s="34">
        <v>1570.8354661467145</v>
      </c>
      <c r="C5" s="34">
        <v>1516.2244320859645</v>
      </c>
      <c r="D5" s="35">
        <v>1754.3109299313555</v>
      </c>
      <c r="E5" s="35">
        <v>1547.714428698305</v>
      </c>
      <c r="F5" s="1"/>
    </row>
    <row r="6" spans="1:9" x14ac:dyDescent="0.4">
      <c r="A6" s="2">
        <v>2000</v>
      </c>
      <c r="B6" s="34">
        <v>2094.4472881956194</v>
      </c>
      <c r="C6" s="34">
        <v>2025.0004712979544</v>
      </c>
      <c r="D6" s="35">
        <v>2330.8382386830995</v>
      </c>
      <c r="E6" s="35">
        <v>2063.6192382644072</v>
      </c>
      <c r="F6" s="1"/>
    </row>
    <row r="7" spans="1:9" x14ac:dyDescent="0.4">
      <c r="A7" s="2">
        <v>2500</v>
      </c>
      <c r="B7" s="34">
        <v>2618.059110244526</v>
      </c>
      <c r="C7" s="34">
        <v>2535.3128517003788</v>
      </c>
      <c r="D7" s="35">
        <v>2900.9181914163692</v>
      </c>
      <c r="E7" s="35">
        <v>2579.5240478305091</v>
      </c>
      <c r="F7" s="1"/>
    </row>
    <row r="8" spans="1:9" x14ac:dyDescent="0.4">
      <c r="A8" s="2">
        <v>3000</v>
      </c>
      <c r="B8" s="34">
        <v>3141.6709322934289</v>
      </c>
      <c r="C8" s="34">
        <v>3048.5345067889775</v>
      </c>
      <c r="D8" s="35">
        <v>3470.9981441496375</v>
      </c>
      <c r="E8" s="35">
        <v>3095.4288573966101</v>
      </c>
      <c r="F8" s="1"/>
    </row>
    <row r="9" spans="1:9" x14ac:dyDescent="0.4">
      <c r="A9" s="2">
        <v>3500</v>
      </c>
      <c r="B9" s="34">
        <v>3665.282754342335</v>
      </c>
      <c r="C9" s="34">
        <v>3561.7561618775771</v>
      </c>
      <c r="D9" s="35">
        <v>4026.3940608981707</v>
      </c>
      <c r="E9" s="35">
        <v>3611.3336669627124</v>
      </c>
      <c r="F9" s="1"/>
    </row>
    <row r="10" spans="1:9" x14ac:dyDescent="0.4">
      <c r="A10" s="2">
        <v>4000</v>
      </c>
      <c r="B10" s="34">
        <v>4188.8945763912388</v>
      </c>
      <c r="C10" s="34">
        <v>4079.0841628463122</v>
      </c>
      <c r="D10" s="35">
        <v>4579.8697431634801</v>
      </c>
      <c r="E10" s="35">
        <v>4127.2384765288143</v>
      </c>
      <c r="F10" s="1"/>
    </row>
    <row r="11" spans="1:9" x14ac:dyDescent="0.4">
      <c r="A11" s="2">
        <v>4500</v>
      </c>
      <c r="B11" s="34">
        <v>4712.5063984401449</v>
      </c>
      <c r="C11" s="34">
        <v>4596.7902789987929</v>
      </c>
      <c r="D11" s="35">
        <v>5133.3454254287899</v>
      </c>
      <c r="E11" s="35">
        <v>4643.1432860949162</v>
      </c>
      <c r="F11" s="1"/>
    </row>
    <row r="12" spans="1:9" x14ac:dyDescent="0.4">
      <c r="A12" s="2">
        <v>5000</v>
      </c>
      <c r="B12" s="34">
        <v>5236.118220489052</v>
      </c>
      <c r="C12" s="34">
        <v>5116.3910856966741</v>
      </c>
      <c r="D12" s="35">
        <v>5678.6868234707572</v>
      </c>
      <c r="E12" s="35">
        <v>5159.0480956610181</v>
      </c>
      <c r="F12" s="1"/>
    </row>
    <row r="13" spans="1:9" x14ac:dyDescent="0.4">
      <c r="A13" s="2">
        <v>5500</v>
      </c>
      <c r="B13" s="34">
        <v>5759.7300425379553</v>
      </c>
      <c r="C13" s="34">
        <v>5638.620847524272</v>
      </c>
      <c r="D13" s="35">
        <v>6216.0418547963</v>
      </c>
      <c r="E13" s="35">
        <v>5674.9529052271191</v>
      </c>
      <c r="F13" s="1"/>
    </row>
    <row r="14" spans="1:9" x14ac:dyDescent="0.4">
      <c r="A14" s="2">
        <v>6000</v>
      </c>
      <c r="B14" s="34">
        <v>6283.3418645868578</v>
      </c>
      <c r="C14" s="34">
        <v>6160.8506093518718</v>
      </c>
      <c r="D14" s="35">
        <v>6753.3968861218427</v>
      </c>
      <c r="E14" s="35">
        <v>6190.8577147932201</v>
      </c>
      <c r="F14" s="1"/>
    </row>
    <row r="15" spans="1:9" x14ac:dyDescent="0.4">
      <c r="A15" s="2">
        <v>6500</v>
      </c>
      <c r="B15" s="34">
        <v>6806.953686635763</v>
      </c>
      <c r="C15" s="34">
        <v>6686.9872562618202</v>
      </c>
      <c r="D15" s="35">
        <v>7290.7519174473873</v>
      </c>
      <c r="E15" s="35">
        <v>6706.7625243593229</v>
      </c>
      <c r="F15" s="1"/>
    </row>
    <row r="16" spans="1:9" x14ac:dyDescent="0.4">
      <c r="A16" s="2">
        <v>7000</v>
      </c>
      <c r="B16" s="34">
        <v>7330.56550868467</v>
      </c>
      <c r="C16" s="34">
        <v>7213.780190765583</v>
      </c>
      <c r="D16" s="35">
        <v>7814.079252665947</v>
      </c>
      <c r="E16" s="35">
        <v>7222.6673339254248</v>
      </c>
      <c r="F16" s="1"/>
    </row>
    <row r="17" spans="1:6" x14ac:dyDescent="0.4">
      <c r="A17" s="2">
        <v>7500</v>
      </c>
      <c r="B17" s="34">
        <v>7854.1773307335752</v>
      </c>
      <c r="C17" s="34">
        <v>7741.6262429513827</v>
      </c>
      <c r="D17" s="35">
        <v>8335.7831665742433</v>
      </c>
      <c r="E17" s="35">
        <v>7738.5721434915285</v>
      </c>
      <c r="F17" s="1"/>
    </row>
    <row r="18" spans="1:6" x14ac:dyDescent="0.4">
      <c r="A18" s="2">
        <v>8000</v>
      </c>
      <c r="B18" s="34">
        <v>8377.7891527824777</v>
      </c>
      <c r="C18" s="34">
        <v>8273.022222513915</v>
      </c>
      <c r="D18" s="35">
        <v>8857.4870804825368</v>
      </c>
      <c r="E18" s="35">
        <v>8254.4769530576286</v>
      </c>
      <c r="F18" s="1"/>
    </row>
    <row r="19" spans="1:6" x14ac:dyDescent="0.4">
      <c r="A19" s="2">
        <v>8500</v>
      </c>
      <c r="B19" s="34">
        <v>8901.400974831382</v>
      </c>
      <c r="C19" s="34">
        <v>8804.4182020764492</v>
      </c>
      <c r="D19" s="35">
        <v>9378.4554882716584</v>
      </c>
      <c r="E19" s="35">
        <v>8770.3817626237305</v>
      </c>
      <c r="F19" s="1"/>
    </row>
    <row r="20" spans="1:6" x14ac:dyDescent="0.4">
      <c r="A20" s="2">
        <v>9000</v>
      </c>
      <c r="B20" s="34">
        <v>9425.0127968802899</v>
      </c>
      <c r="C20" s="34">
        <v>9338.3110849250952</v>
      </c>
      <c r="D20" s="35">
        <v>9884.9641425515547</v>
      </c>
      <c r="E20" s="35">
        <v>9286.2865721898324</v>
      </c>
      <c r="F20" s="1"/>
    </row>
    <row r="21" spans="1:6" x14ac:dyDescent="0.4">
      <c r="A21" s="2">
        <v>9500</v>
      </c>
      <c r="B21" s="34">
        <v>9948.6246189291942</v>
      </c>
      <c r="C21" s="34">
        <v>9874.350330328467</v>
      </c>
      <c r="D21" s="35">
        <v>10391.472796831453</v>
      </c>
      <c r="E21" s="35">
        <v>9802.1913817559325</v>
      </c>
      <c r="F21" s="1"/>
    </row>
    <row r="22" spans="1:6" x14ac:dyDescent="0.4">
      <c r="A22" s="2">
        <v>10000</v>
      </c>
      <c r="B22" s="34">
        <v>10473.877473976005</v>
      </c>
      <c r="C22" s="34">
        <v>10410.389575731837</v>
      </c>
      <c r="D22" s="35">
        <v>10897.981451111351</v>
      </c>
      <c r="E22" s="35">
        <v>10318.096191322036</v>
      </c>
      <c r="F22" s="1"/>
    </row>
    <row r="23" spans="1:6" x14ac:dyDescent="0.4">
      <c r="A23" s="2">
        <v>10500</v>
      </c>
      <c r="B23" s="34">
        <v>11002.826530907614</v>
      </c>
      <c r="C23" s="34">
        <v>10950.101483761156</v>
      </c>
      <c r="D23" s="35">
        <v>11404.490105391249</v>
      </c>
      <c r="E23" s="35">
        <v>10834.001000888138</v>
      </c>
      <c r="F23" s="1"/>
    </row>
    <row r="24" spans="1:6" x14ac:dyDescent="0.4">
      <c r="A24" s="2">
        <v>11000</v>
      </c>
      <c r="B24" s="34">
        <v>11536.054425676675</v>
      </c>
      <c r="C24" s="34">
        <v>11490.824567231162</v>
      </c>
      <c r="D24" s="35">
        <v>11896.991256549301</v>
      </c>
      <c r="E24" s="35">
        <v>11349.905810454238</v>
      </c>
      <c r="F24" s="1"/>
    </row>
    <row r="25" spans="1:6" x14ac:dyDescent="0.4">
      <c r="A25" s="2">
        <v>11500</v>
      </c>
      <c r="B25" s="34">
        <v>12071.514516999861</v>
      </c>
      <c r="C25" s="34">
        <v>12031.547650701164</v>
      </c>
      <c r="D25" s="35">
        <v>12388.747231578327</v>
      </c>
      <c r="E25" s="35">
        <v>11865.81062002034</v>
      </c>
      <c r="F25" s="1"/>
    </row>
    <row r="26" spans="1:6" x14ac:dyDescent="0.4">
      <c r="A26" s="2">
        <v>12000</v>
      </c>
      <c r="B26" s="34">
        <v>12609.096025819003</v>
      </c>
      <c r="C26" s="34">
        <v>12576.848673645682</v>
      </c>
      <c r="D26" s="35">
        <v>12880.503206607355</v>
      </c>
      <c r="E26" s="35">
        <v>12381.71542958644</v>
      </c>
      <c r="F26" s="1"/>
    </row>
    <row r="27" spans="1:6" x14ac:dyDescent="0.4">
      <c r="A27" s="2">
        <v>12500</v>
      </c>
      <c r="B27" s="34">
        <v>13149.864687082634</v>
      </c>
      <c r="C27" s="34">
        <v>13122.296521922699</v>
      </c>
      <c r="D27" s="35">
        <v>13372.259181636382</v>
      </c>
      <c r="E27" s="35">
        <v>12897.620239152546</v>
      </c>
      <c r="F27" s="1"/>
    </row>
    <row r="28" spans="1:6" x14ac:dyDescent="0.4">
      <c r="A28" s="2">
        <v>13000</v>
      </c>
      <c r="B28" s="34">
        <v>13692.733764034479</v>
      </c>
      <c r="C28" s="34">
        <v>13668.18854854957</v>
      </c>
      <c r="D28" s="35">
        <v>13855.599750403579</v>
      </c>
      <c r="E28" s="35">
        <v>13413.525048718646</v>
      </c>
      <c r="F28" s="1"/>
    </row>
    <row r="29" spans="1:6" x14ac:dyDescent="0.4">
      <c r="A29" s="2">
        <v>13500</v>
      </c>
      <c r="B29" s="34">
        <v>14238.76678183588</v>
      </c>
      <c r="C29" s="34">
        <v>14218.402445986296</v>
      </c>
      <c r="D29" s="35">
        <v>14333.032735868654</v>
      </c>
      <c r="E29" s="35">
        <v>13929.429858284748</v>
      </c>
      <c r="F29" s="1"/>
    </row>
    <row r="30" spans="1:6" x14ac:dyDescent="0.4">
      <c r="A30" s="2">
        <v>14000</v>
      </c>
      <c r="B30" s="34">
        <v>14786.62888110594</v>
      </c>
      <c r="C30" s="34">
        <v>14768.616343423015</v>
      </c>
      <c r="D30" s="35">
        <v>14810.465721333727</v>
      </c>
      <c r="E30" s="35">
        <v>14445.33466785085</v>
      </c>
      <c r="F30" s="1"/>
    </row>
    <row r="31" spans="1:6" x14ac:dyDescent="0.4">
      <c r="A31" s="2">
        <v>14500</v>
      </c>
      <c r="B31" s="34">
        <v>15335.376069547285</v>
      </c>
      <c r="C31" s="34">
        <v>15319.589516456299</v>
      </c>
      <c r="D31" s="35">
        <v>15287.898706798806</v>
      </c>
      <c r="E31" s="35">
        <v>14961.239477416952</v>
      </c>
      <c r="F31" s="1"/>
    </row>
    <row r="32" spans="1:6" x14ac:dyDescent="0.4">
      <c r="A32" s="2">
        <v>15000</v>
      </c>
      <c r="B32" s="34">
        <v>15886.832633138796</v>
      </c>
      <c r="C32" s="34">
        <v>15874.611108142473</v>
      </c>
      <c r="D32" s="35">
        <v>15765.331692263879</v>
      </c>
      <c r="E32" s="35">
        <v>15477.144286983057</v>
      </c>
      <c r="F32" s="1"/>
    </row>
    <row r="33" spans="1:6" x14ac:dyDescent="0.4">
      <c r="A33" s="2">
        <v>15500</v>
      </c>
      <c r="B33" s="34">
        <v>16440.789522974152</v>
      </c>
      <c r="C33" s="34">
        <v>16429.632699828642</v>
      </c>
      <c r="D33" s="35">
        <v>16229.553167142129</v>
      </c>
      <c r="E33" s="35">
        <v>15993.049096549157</v>
      </c>
      <c r="F33" s="1"/>
    </row>
    <row r="34" spans="1:6" x14ac:dyDescent="0.4">
      <c r="A34" s="2">
        <v>16000</v>
      </c>
      <c r="B34" s="34">
        <v>16996.691808563999</v>
      </c>
      <c r="C34" s="34">
        <v>16985.450146848085</v>
      </c>
      <c r="D34" s="35">
        <v>16693.080337496569</v>
      </c>
      <c r="E34" s="35">
        <v>16508.953906115257</v>
      </c>
      <c r="F34" s="1"/>
    </row>
    <row r="35" spans="1:6" x14ac:dyDescent="0.4">
      <c r="A35" s="2">
        <v>16500</v>
      </c>
      <c r="B35" s="34">
        <v>17552.856203284977</v>
      </c>
      <c r="C35" s="34">
        <v>17545.321441762586</v>
      </c>
      <c r="D35" s="35">
        <v>17156.607507851011</v>
      </c>
      <c r="E35" s="35">
        <v>17024.858715681359</v>
      </c>
      <c r="F35" s="1"/>
    </row>
    <row r="36" spans="1:6" x14ac:dyDescent="0.4">
      <c r="A36" s="2">
        <v>17000</v>
      </c>
      <c r="B36" s="34">
        <v>18112.181856358911</v>
      </c>
      <c r="C36" s="34">
        <v>18105.19273667708</v>
      </c>
      <c r="D36" s="35">
        <v>17620.134678205453</v>
      </c>
      <c r="E36" s="35">
        <v>17540.763525247461</v>
      </c>
      <c r="F36" s="1"/>
    </row>
    <row r="37" spans="1:6" x14ac:dyDescent="0.4">
      <c r="A37" s="2">
        <v>17500</v>
      </c>
      <c r="B37" s="34">
        <v>18673.323160752363</v>
      </c>
      <c r="C37" s="34">
        <v>18665.615286530876</v>
      </c>
      <c r="D37" s="35">
        <v>18083.337517770709</v>
      </c>
      <c r="E37" s="35">
        <v>18056.668334813567</v>
      </c>
      <c r="F37" s="1"/>
    </row>
    <row r="38" spans="1:6" x14ac:dyDescent="0.4">
      <c r="A38" s="2">
        <v>18000</v>
      </c>
      <c r="B38" s="34">
        <v>19235.826771699103</v>
      </c>
      <c r="C38" s="34">
        <v>19230.378660721326</v>
      </c>
      <c r="D38" s="35">
        <v>18533.3638967556</v>
      </c>
      <c r="E38" s="35">
        <v>18572.573144379665</v>
      </c>
      <c r="F38" s="1"/>
    </row>
    <row r="39" spans="1:6" x14ac:dyDescent="0.4">
      <c r="A39" s="2">
        <v>18500</v>
      </c>
      <c r="B39" s="34">
        <v>19798.372027488254</v>
      </c>
      <c r="C39" s="34">
        <v>19795.142034911776</v>
      </c>
      <c r="D39" s="35">
        <v>18983.390275740498</v>
      </c>
      <c r="E39" s="35">
        <v>19088.477953945767</v>
      </c>
      <c r="F39" s="1"/>
    </row>
    <row r="40" spans="1:6" x14ac:dyDescent="0.4">
      <c r="A40" s="2">
        <v>19000</v>
      </c>
      <c r="B40" s="34">
        <v>20365.821274350692</v>
      </c>
      <c r="C40" s="34">
        <v>20359.928168861039</v>
      </c>
      <c r="D40" s="35">
        <v>19433.416654725388</v>
      </c>
      <c r="E40" s="35">
        <v>19604.382763511865</v>
      </c>
      <c r="F40" s="1"/>
    </row>
    <row r="41" spans="1:6" x14ac:dyDescent="0.4">
      <c r="A41" s="2">
        <v>19500</v>
      </c>
      <c r="B41" s="34">
        <v>20933.325529244059</v>
      </c>
      <c r="C41" s="34">
        <v>20929.62636865121</v>
      </c>
      <c r="D41" s="35">
        <v>19883.443033710286</v>
      </c>
      <c r="E41" s="35">
        <v>20120.287573077971</v>
      </c>
      <c r="F41" s="1"/>
    </row>
    <row r="42" spans="1:6" x14ac:dyDescent="0.4">
      <c r="A42" s="2">
        <v>20000</v>
      </c>
      <c r="B42" s="34">
        <v>21501.758853771549</v>
      </c>
      <c r="C42" s="34">
        <v>21499.324568441378</v>
      </c>
      <c r="D42" s="35">
        <v>20333.46941269518</v>
      </c>
      <c r="E42" s="35">
        <v>20636.192382644072</v>
      </c>
      <c r="F42" s="1"/>
    </row>
    <row r="43" spans="1:6" x14ac:dyDescent="0.4">
      <c r="A43" s="2">
        <v>20500</v>
      </c>
      <c r="B43" s="34">
        <v>22072.633200760862</v>
      </c>
      <c r="C43" s="34">
        <v>22069.022768231549</v>
      </c>
      <c r="D43" s="35">
        <v>20773.06482508481</v>
      </c>
      <c r="E43" s="35">
        <v>21152.097192210174</v>
      </c>
      <c r="F43" s="1"/>
    </row>
    <row r="44" spans="1:6" x14ac:dyDescent="0.4">
      <c r="A44" s="2">
        <v>21000</v>
      </c>
      <c r="B44" s="34">
        <v>22645.742974079596</v>
      </c>
      <c r="C44" s="34">
        <v>22642.906516061648</v>
      </c>
      <c r="D44" s="35">
        <v>21209.98363963325</v>
      </c>
      <c r="E44" s="35">
        <v>21668.002001776276</v>
      </c>
      <c r="F44" s="1"/>
    </row>
    <row r="45" spans="1:6" x14ac:dyDescent="0.4">
      <c r="A45" s="2">
        <v>21500</v>
      </c>
      <c r="B45" s="34">
        <v>23219.378111415135</v>
      </c>
      <c r="C45" s="34">
        <v>23217.582661286888</v>
      </c>
      <c r="D45" s="35">
        <v>21646.902454181691</v>
      </c>
      <c r="E45" s="35">
        <v>22183.906811342375</v>
      </c>
      <c r="F45" s="1"/>
    </row>
    <row r="46" spans="1:6" x14ac:dyDescent="0.4">
      <c r="A46" s="2">
        <v>22000</v>
      </c>
      <c r="B46" s="34">
        <v>23793.689570408649</v>
      </c>
      <c r="C46" s="34">
        <v>23792.258806512113</v>
      </c>
      <c r="D46" s="35">
        <v>22083.821268730135</v>
      </c>
      <c r="E46" s="35">
        <v>22699.811620908476</v>
      </c>
      <c r="F46" s="1"/>
    </row>
    <row r="47" spans="1:6" x14ac:dyDescent="0.4">
      <c r="A47" s="2">
        <v>22500</v>
      </c>
      <c r="B47" s="34">
        <v>24372.376470407991</v>
      </c>
      <c r="C47" s="34">
        <v>24370.059357039187</v>
      </c>
      <c r="D47" s="35">
        <v>22520.740083278575</v>
      </c>
      <c r="E47" s="35">
        <v>23215.716430474582</v>
      </c>
      <c r="F47" s="1"/>
    </row>
    <row r="48" spans="1:6" x14ac:dyDescent="0.4">
      <c r="A48" s="2">
        <v>23000</v>
      </c>
      <c r="B48" s="34">
        <v>24951.063370407337</v>
      </c>
      <c r="C48" s="34">
        <v>24949.75694431008</v>
      </c>
      <c r="D48" s="35">
        <v>22954.46212557613</v>
      </c>
      <c r="E48" s="35">
        <v>23731.62124004068</v>
      </c>
      <c r="F48" s="1"/>
    </row>
    <row r="49" spans="1:6" x14ac:dyDescent="0.4">
      <c r="A49" s="2">
        <v>23500</v>
      </c>
      <c r="B49" s="34">
        <v>25530.138469014699</v>
      </c>
      <c r="C49" s="34">
        <v>25529.454531580963</v>
      </c>
      <c r="D49" s="35">
        <v>23378.655149409573</v>
      </c>
      <c r="E49" s="35">
        <v>24247.526049606786</v>
      </c>
      <c r="F49" s="1"/>
    </row>
    <row r="50" spans="1:6" x14ac:dyDescent="0.4">
      <c r="A50" s="2">
        <v>24000</v>
      </c>
      <c r="B50" s="34">
        <v>26112.865096572816</v>
      </c>
      <c r="C50" s="34">
        <v>26110.923405522251</v>
      </c>
      <c r="D50" s="35">
        <v>23802.848173243008</v>
      </c>
      <c r="E50" s="35">
        <v>24763.43085917288</v>
      </c>
      <c r="F50" s="1"/>
    </row>
    <row r="51" spans="1:6" x14ac:dyDescent="0.4">
      <c r="A51" s="2">
        <v>24500</v>
      </c>
      <c r="B51" s="34">
        <v>26696.646752789227</v>
      </c>
      <c r="C51" s="34">
        <v>26695.686311516867</v>
      </c>
      <c r="D51" s="35">
        <v>24227.041197076451</v>
      </c>
      <c r="E51" s="35">
        <v>25279.33566873899</v>
      </c>
      <c r="F51" s="1"/>
    </row>
    <row r="52" spans="1:6" x14ac:dyDescent="0.4">
      <c r="A52" s="2">
        <v>25000</v>
      </c>
      <c r="B52" s="34">
        <v>27281.039118876437</v>
      </c>
      <c r="C52" s="34">
        <v>27280.449217511472</v>
      </c>
      <c r="D52" s="35">
        <v>24651.234220909886</v>
      </c>
      <c r="E52" s="35">
        <v>25795.240478305092</v>
      </c>
      <c r="F52" s="1"/>
    </row>
    <row r="53" spans="1:6" x14ac:dyDescent="0.4">
      <c r="A53" s="2">
        <v>25500</v>
      </c>
      <c r="B53" s="34">
        <v>27867.039062721447</v>
      </c>
      <c r="C53" s="34">
        <v>27865.335391143948</v>
      </c>
      <c r="D53" s="35">
        <v>25075.427244743325</v>
      </c>
      <c r="E53" s="35">
        <v>26311.145287871186</v>
      </c>
      <c r="F53" s="1"/>
    </row>
    <row r="54" spans="1:6" x14ac:dyDescent="0.4">
      <c r="A54" s="2">
        <v>26000</v>
      </c>
      <c r="B54" s="34">
        <v>28456.058426041673</v>
      </c>
      <c r="C54" s="34">
        <v>28455.207875928812</v>
      </c>
      <c r="D54" s="35">
        <v>25494.98160847434</v>
      </c>
      <c r="E54" s="35">
        <v>26827.050097437292</v>
      </c>
      <c r="F54" s="1"/>
    </row>
    <row r="55" spans="1:6" x14ac:dyDescent="0.4">
      <c r="A55" s="2">
        <v>26500</v>
      </c>
      <c r="B55" s="34">
        <v>29045.620493854371</v>
      </c>
      <c r="C55" s="34">
        <v>29045.080360713673</v>
      </c>
      <c r="D55" s="35">
        <v>25906.81949569127</v>
      </c>
      <c r="E55" s="35">
        <v>27342.954907003397</v>
      </c>
      <c r="F55" s="1"/>
    </row>
    <row r="56" spans="1:6" x14ac:dyDescent="0.4">
      <c r="A56" s="2">
        <v>27000</v>
      </c>
      <c r="B56" s="34">
        <v>29635.182561667061</v>
      </c>
      <c r="C56" s="34">
        <v>29634.952845498527</v>
      </c>
      <c r="D56" s="35">
        <v>26318.657382908201</v>
      </c>
      <c r="E56" s="35">
        <v>27858.859716569496</v>
      </c>
      <c r="F56" s="1"/>
    </row>
    <row r="57" spans="1:6" x14ac:dyDescent="0.4">
      <c r="A57" s="2">
        <v>27500</v>
      </c>
      <c r="B57" s="34">
        <v>30228.990913835732</v>
      </c>
      <c r="C57" s="34">
        <v>30228.156925016159</v>
      </c>
      <c r="D57" s="35">
        <v>26730.495270125131</v>
      </c>
      <c r="E57" s="35">
        <v>28374.764526135597</v>
      </c>
      <c r="F57" s="1"/>
    </row>
    <row r="58" spans="1:6" x14ac:dyDescent="0.4">
      <c r="A58" s="2">
        <v>28000</v>
      </c>
      <c r="B58" s="34">
        <v>30823.716248514673</v>
      </c>
      <c r="C58" s="34">
        <v>30823.183635396228</v>
      </c>
      <c r="D58" s="35">
        <v>27142.333157342058</v>
      </c>
      <c r="E58" s="35">
        <v>28890.669335701699</v>
      </c>
      <c r="F58" s="1"/>
    </row>
    <row r="59" spans="1:6" x14ac:dyDescent="0.4">
      <c r="A59" s="2">
        <v>28500</v>
      </c>
      <c r="B59" s="34">
        <v>31418.441583193595</v>
      </c>
      <c r="C59" s="34">
        <v>31418.210345776286</v>
      </c>
      <c r="D59" s="35">
        <v>27554.171044558992</v>
      </c>
      <c r="E59" s="35">
        <v>29406.574145267801</v>
      </c>
      <c r="F59" s="1"/>
    </row>
    <row r="60" spans="1:6" x14ac:dyDescent="0.4">
      <c r="A60" s="2">
        <v>29000</v>
      </c>
      <c r="B60" s="34">
        <v>31785.741784822101</v>
      </c>
      <c r="C60" s="34">
        <v>31883.935487799255</v>
      </c>
      <c r="D60" s="35">
        <v>27964.172670155487</v>
      </c>
      <c r="E60" s="35">
        <v>29922.478954833903</v>
      </c>
      <c r="F60" s="1"/>
    </row>
    <row r="61" spans="1:6" x14ac:dyDescent="0.4">
      <c r="A61" s="2">
        <v>29500</v>
      </c>
      <c r="B61" s="34">
        <v>31819.227973836667</v>
      </c>
      <c r="C61" s="34">
        <v>31883.935487799255</v>
      </c>
      <c r="D61" s="35">
        <v>28364.015279103958</v>
      </c>
      <c r="E61" s="35">
        <v>30438.383764400005</v>
      </c>
      <c r="F61" s="1"/>
    </row>
    <row r="62" spans="1:6" x14ac:dyDescent="0.4">
      <c r="A62" s="2">
        <v>30000</v>
      </c>
      <c r="B62" s="34">
        <v>31852.714162851236</v>
      </c>
      <c r="C62" s="34">
        <v>31883.935487799255</v>
      </c>
      <c r="D62" s="35">
        <v>28763.857888052436</v>
      </c>
      <c r="E62" s="35">
        <v>30954.288573966114</v>
      </c>
      <c r="F62" s="1"/>
    </row>
    <row r="63" spans="1:6" x14ac:dyDescent="0.4">
      <c r="A63" s="2">
        <v>30500</v>
      </c>
      <c r="B63" s="34">
        <v>31883.935487799255</v>
      </c>
      <c r="C63" s="34">
        <v>31883.935487799255</v>
      </c>
      <c r="D63" s="35">
        <v>29163.700497000911</v>
      </c>
      <c r="E63" s="35">
        <v>31470.193383532205</v>
      </c>
      <c r="F63" s="1"/>
    </row>
    <row r="64" spans="1:6" x14ac:dyDescent="0.4">
      <c r="A64" s="2">
        <v>31000</v>
      </c>
      <c r="B64" s="34">
        <v>31883.935487799255</v>
      </c>
      <c r="C64" s="34">
        <v>31883.935487799255</v>
      </c>
      <c r="D64" s="35">
        <v>29563.543105949389</v>
      </c>
      <c r="E64" s="35">
        <v>31986.098193098314</v>
      </c>
      <c r="F64" s="1"/>
    </row>
    <row r="65" spans="1:6" x14ac:dyDescent="0.4">
      <c r="A65" s="2">
        <v>31500</v>
      </c>
      <c r="B65" s="34">
        <v>31883.935487799255</v>
      </c>
      <c r="C65" s="34">
        <v>31883.935487799255</v>
      </c>
      <c r="D65" s="35">
        <v>29963.385714897857</v>
      </c>
      <c r="E65" s="35">
        <v>32502.003002664405</v>
      </c>
      <c r="F65" s="1"/>
    </row>
    <row r="66" spans="1:6" x14ac:dyDescent="0.4">
      <c r="A66" s="2">
        <v>32000</v>
      </c>
      <c r="B66" s="34">
        <v>31883.935487799255</v>
      </c>
      <c r="C66" s="34">
        <v>31883.935487799255</v>
      </c>
      <c r="D66" s="35">
        <v>30363.228323846335</v>
      </c>
      <c r="E66" s="35">
        <v>33017.907812230515</v>
      </c>
      <c r="F66" s="1"/>
    </row>
    <row r="67" spans="1:6" x14ac:dyDescent="0.4">
      <c r="A67" s="2">
        <v>32500</v>
      </c>
      <c r="B67" s="34">
        <v>31883.935487799255</v>
      </c>
      <c r="C67" s="34">
        <v>31883.935487799255</v>
      </c>
      <c r="D67" s="35">
        <v>30756.455789753887</v>
      </c>
      <c r="E67" s="35">
        <v>33533.812621796613</v>
      </c>
      <c r="F67" s="1"/>
    </row>
    <row r="68" spans="1:6" x14ac:dyDescent="0.4">
      <c r="A68" s="2">
        <v>33000</v>
      </c>
      <c r="B68" s="34">
        <v>31883.935487799255</v>
      </c>
      <c r="C68" s="34">
        <v>31883.935487799255</v>
      </c>
      <c r="D68" s="35">
        <v>31144.652497470859</v>
      </c>
      <c r="E68" s="35">
        <v>34049.717431362718</v>
      </c>
      <c r="F68" s="1"/>
    </row>
    <row r="69" spans="1:6" x14ac:dyDescent="0.4">
      <c r="A69" s="2">
        <v>33500</v>
      </c>
      <c r="B69" s="34">
        <v>31883.935487799255</v>
      </c>
      <c r="C69" s="34">
        <v>31883.935487799255</v>
      </c>
      <c r="D69" s="35">
        <v>31532.849205187827</v>
      </c>
      <c r="E69" s="35">
        <v>34565.622240928817</v>
      </c>
      <c r="F69" s="1"/>
    </row>
    <row r="70" spans="1:6" x14ac:dyDescent="0.4">
      <c r="A70" s="2">
        <v>34000</v>
      </c>
      <c r="B70" s="34">
        <v>31883.935487799255</v>
      </c>
      <c r="C70" s="34">
        <v>31883.935487799255</v>
      </c>
      <c r="D70" s="35">
        <v>31921.045912904796</v>
      </c>
      <c r="E70" s="35">
        <v>35081.527050494922</v>
      </c>
      <c r="F70" s="1"/>
    </row>
    <row r="71" spans="1:6" x14ac:dyDescent="0.4">
      <c r="A71" s="2">
        <v>34500</v>
      </c>
      <c r="B71" s="34">
        <v>31883.935487799255</v>
      </c>
      <c r="C71" s="34">
        <v>31883.935487799255</v>
      </c>
      <c r="D71" s="35">
        <v>32309.242620621764</v>
      </c>
      <c r="E71" s="35">
        <v>35597.43186006102</v>
      </c>
      <c r="F71" s="1"/>
    </row>
    <row r="72" spans="1:6" x14ac:dyDescent="0.4">
      <c r="A72" s="2">
        <v>35000</v>
      </c>
      <c r="B72" s="34">
        <v>31883.935487799255</v>
      </c>
      <c r="C72" s="34">
        <v>31883.935487799255</v>
      </c>
      <c r="D72" s="35">
        <v>32697.439328338729</v>
      </c>
      <c r="E72" s="35">
        <v>36113.336669627133</v>
      </c>
      <c r="F72" s="1"/>
    </row>
    <row r="73" spans="1:6" x14ac:dyDescent="0.4">
      <c r="A73" s="2">
        <v>35500</v>
      </c>
      <c r="B73" s="34">
        <v>31883.935487799255</v>
      </c>
      <c r="C73" s="34">
        <v>31883.935487799255</v>
      </c>
      <c r="D73" s="35">
        <v>33085.636036055701</v>
      </c>
      <c r="E73" s="35">
        <v>36629.241479193231</v>
      </c>
      <c r="F73" s="1"/>
    </row>
    <row r="74" spans="1:6" x14ac:dyDescent="0.4">
      <c r="A74" s="2">
        <v>36000</v>
      </c>
      <c r="B74" s="34">
        <v>31883.935487799255</v>
      </c>
      <c r="C74" s="34">
        <v>31883.935487799255</v>
      </c>
      <c r="D74" s="35">
        <v>33467.009334881564</v>
      </c>
      <c r="E74" s="35">
        <v>37145.14628875933</v>
      </c>
      <c r="F74" s="1"/>
    </row>
    <row r="75" spans="1:6" x14ac:dyDescent="0.4">
      <c r="A75" s="2">
        <v>36500</v>
      </c>
      <c r="B75" s="34">
        <v>31883.935487799255</v>
      </c>
      <c r="C75" s="34">
        <v>31883.935487799255</v>
      </c>
      <c r="D75" s="35">
        <v>33843.899342373763</v>
      </c>
      <c r="E75" s="35">
        <v>37661.051098325435</v>
      </c>
      <c r="F75" s="1"/>
    </row>
    <row r="76" spans="1:6" x14ac:dyDescent="0.4">
      <c r="A76" s="2">
        <v>37000</v>
      </c>
      <c r="B76" s="34">
        <v>31883.935487799255</v>
      </c>
      <c r="C76" s="34">
        <v>31883.935487799255</v>
      </c>
      <c r="D76" s="35">
        <v>34220.789349865969</v>
      </c>
      <c r="E76" s="35">
        <v>38176.955907891534</v>
      </c>
      <c r="F76" s="1"/>
    </row>
    <row r="77" spans="1:6" x14ac:dyDescent="0.4">
      <c r="A77" s="2">
        <v>37500</v>
      </c>
      <c r="B77" s="34">
        <v>31883.935487799255</v>
      </c>
      <c r="C77" s="34">
        <v>31883.935487799255</v>
      </c>
      <c r="D77" s="35">
        <v>34597.679357358174</v>
      </c>
      <c r="E77" s="35">
        <v>38692.860717457639</v>
      </c>
      <c r="F77" s="1"/>
    </row>
    <row r="78" spans="1:6" x14ac:dyDescent="0.4">
      <c r="A78" s="2">
        <v>38000</v>
      </c>
      <c r="B78" s="34">
        <v>31883.935487799255</v>
      </c>
      <c r="C78" s="34">
        <v>31883.935487799255</v>
      </c>
      <c r="D78" s="35">
        <v>34974.569364850366</v>
      </c>
      <c r="E78" s="35">
        <v>39208.76552702373</v>
      </c>
      <c r="F78" s="1"/>
    </row>
    <row r="79" spans="1:6" x14ac:dyDescent="0.4">
      <c r="A79" s="2">
        <v>38500</v>
      </c>
      <c r="B79" s="34">
        <v>31883.935487799255</v>
      </c>
      <c r="C79" s="34">
        <v>31883.935487799255</v>
      </c>
      <c r="D79" s="35">
        <v>35351.459372342571</v>
      </c>
      <c r="E79" s="35">
        <v>39724.670336589836</v>
      </c>
      <c r="F79" s="1"/>
    </row>
    <row r="80" spans="1:6" x14ac:dyDescent="0.4">
      <c r="A80" s="2">
        <v>39000</v>
      </c>
      <c r="B80" s="34">
        <v>31883.935487799255</v>
      </c>
      <c r="C80" s="34">
        <v>31883.935487799255</v>
      </c>
      <c r="D80" s="35">
        <v>35728.34937983477</v>
      </c>
      <c r="E80" s="35">
        <v>40240.575146155941</v>
      </c>
      <c r="F80" s="1"/>
    </row>
    <row r="81" spans="1:6" x14ac:dyDescent="0.4">
      <c r="A81" s="2">
        <v>39500</v>
      </c>
      <c r="B81" s="34">
        <v>31883.935487799255</v>
      </c>
      <c r="C81" s="34">
        <v>31883.935487799255</v>
      </c>
      <c r="D81" s="35">
        <v>36102.583274612305</v>
      </c>
      <c r="E81" s="35">
        <v>40756.479955722039</v>
      </c>
      <c r="F81" s="1"/>
    </row>
    <row r="82" spans="1:6" x14ac:dyDescent="0.4">
      <c r="A82" s="2">
        <v>40000</v>
      </c>
      <c r="B82" s="34">
        <v>31883.935487799255</v>
      </c>
      <c r="C82" s="34">
        <v>31883.935487799255</v>
      </c>
      <c r="D82" s="35">
        <v>36468.495903245508</v>
      </c>
      <c r="E82" s="35">
        <v>41272.384765288145</v>
      </c>
      <c r="F82" s="1"/>
    </row>
    <row r="83" spans="1:6" x14ac:dyDescent="0.4">
      <c r="A83" s="2">
        <v>40500</v>
      </c>
      <c r="B83" s="34">
        <v>31883.935487799255</v>
      </c>
      <c r="C83" s="34">
        <v>31883.935487799255</v>
      </c>
      <c r="D83" s="35">
        <v>36834.408531878711</v>
      </c>
      <c r="E83" s="35">
        <v>41788.289574854236</v>
      </c>
      <c r="F83" s="1"/>
    </row>
    <row r="84" spans="1:6" x14ac:dyDescent="0.4">
      <c r="A84" s="2">
        <v>41000</v>
      </c>
      <c r="B84" s="34">
        <v>31883.935487799255</v>
      </c>
      <c r="C84" s="34">
        <v>31883.935487799255</v>
      </c>
      <c r="D84" s="35">
        <v>37200.321160511921</v>
      </c>
      <c r="E84" s="35">
        <v>42304.194384420349</v>
      </c>
      <c r="F84" s="1"/>
    </row>
    <row r="85" spans="1:6" x14ac:dyDescent="0.4">
      <c r="A85" s="2">
        <v>41500</v>
      </c>
      <c r="B85" s="34">
        <v>31883.935487799255</v>
      </c>
      <c r="C85" s="34">
        <v>31883.935487799255</v>
      </c>
      <c r="D85" s="35">
        <v>37566.233789145132</v>
      </c>
      <c r="E85" s="35">
        <v>42820.099193986454</v>
      </c>
      <c r="F85" s="1"/>
    </row>
    <row r="86" spans="1:6" x14ac:dyDescent="0.4">
      <c r="A86" s="2">
        <v>42000</v>
      </c>
      <c r="B86" s="34">
        <v>31883.935487799255</v>
      </c>
      <c r="C86" s="34">
        <v>31883.935487799255</v>
      </c>
      <c r="D86" s="35">
        <v>37932.146417778327</v>
      </c>
      <c r="E86" s="35">
        <v>43336.004003552553</v>
      </c>
      <c r="F86" s="1"/>
    </row>
    <row r="87" spans="1:6" x14ac:dyDescent="0.4">
      <c r="A87" s="2">
        <v>42500</v>
      </c>
      <c r="B87" s="34">
        <v>31883.935487799255</v>
      </c>
      <c r="C87" s="34">
        <v>31883.935487799255</v>
      </c>
      <c r="D87" s="35">
        <v>38298.05904641153</v>
      </c>
      <c r="E87" s="35">
        <v>43851.908813118651</v>
      </c>
      <c r="F87" s="1"/>
    </row>
    <row r="88" spans="1:6" x14ac:dyDescent="0.4">
      <c r="A88" s="2">
        <v>43000</v>
      </c>
      <c r="B88" s="34">
        <v>31883.935487799255</v>
      </c>
      <c r="C88" s="34">
        <v>31883.935487799255</v>
      </c>
      <c r="D88" s="35">
        <v>38663.971675044733</v>
      </c>
      <c r="E88" s="35">
        <v>44367.813622684749</v>
      </c>
      <c r="F88" s="1"/>
    </row>
    <row r="89" spans="1:6" x14ac:dyDescent="0.4">
      <c r="A89" s="2">
        <v>43500</v>
      </c>
      <c r="B89" s="34">
        <v>31883.935487799255</v>
      </c>
      <c r="C89" s="34">
        <v>31883.935487799255</v>
      </c>
      <c r="D89" s="35">
        <v>39024.926235605533</v>
      </c>
      <c r="E89" s="35">
        <v>44883.718432250855</v>
      </c>
      <c r="F89" s="1"/>
    </row>
    <row r="90" spans="1:6" x14ac:dyDescent="0.4">
      <c r="A90" s="2">
        <v>44000</v>
      </c>
      <c r="B90" s="34">
        <v>31883.935487799255</v>
      </c>
      <c r="C90" s="34">
        <v>31883.935487799255</v>
      </c>
      <c r="D90" s="35">
        <v>39380.18121486107</v>
      </c>
      <c r="E90" s="35">
        <v>45399.623241816953</v>
      </c>
      <c r="F90" s="1"/>
    </row>
    <row r="91" spans="1:6" x14ac:dyDescent="0.4">
      <c r="A91" s="2">
        <v>44500</v>
      </c>
      <c r="B91" s="34">
        <v>31883.935487799255</v>
      </c>
      <c r="C91" s="34">
        <v>31883.935487799255</v>
      </c>
      <c r="D91" s="35">
        <v>39735.436194116606</v>
      </c>
      <c r="E91" s="35">
        <v>45915.528051383058</v>
      </c>
      <c r="F91" s="1"/>
    </row>
    <row r="92" spans="1:6" x14ac:dyDescent="0.4">
      <c r="A92" s="2">
        <v>45000</v>
      </c>
      <c r="B92" s="34">
        <v>31883.935487799255</v>
      </c>
      <c r="C92" s="34">
        <v>31883.935487799255</v>
      </c>
      <c r="D92" s="35">
        <v>40090.691173372143</v>
      </c>
      <c r="E92" s="35">
        <v>46431.432860949164</v>
      </c>
      <c r="F92" s="1"/>
    </row>
    <row r="93" spans="1:6" x14ac:dyDescent="0.4">
      <c r="A93" s="2">
        <v>45500</v>
      </c>
      <c r="B93" s="34">
        <v>31883.935487799255</v>
      </c>
      <c r="C93" s="34">
        <v>31883.935487799255</v>
      </c>
      <c r="D93" s="35">
        <v>40445.946152627686</v>
      </c>
      <c r="E93" s="35">
        <v>46947.33767051527</v>
      </c>
      <c r="F93" s="1"/>
    </row>
    <row r="94" spans="1:6" x14ac:dyDescent="0.4">
      <c r="A94" s="2">
        <v>46000</v>
      </c>
      <c r="B94" s="34">
        <v>31883.935487799255</v>
      </c>
      <c r="C94" s="34">
        <v>31883.935487799255</v>
      </c>
      <c r="D94" s="35">
        <v>40801.201131883216</v>
      </c>
      <c r="E94" s="35">
        <v>47463.242480081361</v>
      </c>
      <c r="F94" s="1"/>
    </row>
    <row r="95" spans="1:6" x14ac:dyDescent="0.4">
      <c r="A95" s="2">
        <v>46500</v>
      </c>
      <c r="B95" s="34">
        <v>31883.935487799255</v>
      </c>
      <c r="C95" s="34">
        <v>31883.935487799255</v>
      </c>
      <c r="D95" s="35">
        <v>41156.456111138759</v>
      </c>
      <c r="E95" s="35">
        <v>47979.147289647466</v>
      </c>
      <c r="F95" s="1"/>
    </row>
    <row r="96" spans="1:6" x14ac:dyDescent="0.4">
      <c r="A96" s="2">
        <v>47000</v>
      </c>
      <c r="B96" s="34">
        <v>31883.935487799255</v>
      </c>
      <c r="C96" s="34">
        <v>31883.935487799255</v>
      </c>
      <c r="D96" s="35">
        <v>41511.711090394303</v>
      </c>
      <c r="E96" s="35">
        <v>48495.052099213572</v>
      </c>
      <c r="F96" s="1"/>
    </row>
    <row r="97" spans="1:6" x14ac:dyDescent="0.4">
      <c r="A97" s="2">
        <v>47500</v>
      </c>
      <c r="B97" s="34">
        <v>31883.935487799255</v>
      </c>
      <c r="C97" s="34">
        <v>31883.935487799255</v>
      </c>
      <c r="D97" s="35">
        <v>41864.335715410314</v>
      </c>
      <c r="E97" s="35">
        <v>49010.956908779684</v>
      </c>
      <c r="F97" s="1"/>
    </row>
    <row r="98" spans="1:6" x14ac:dyDescent="0.4">
      <c r="A98" s="2">
        <v>48000</v>
      </c>
      <c r="B98" s="34">
        <v>31883.935487799255</v>
      </c>
      <c r="C98" s="34">
        <v>31883.935487799255</v>
      </c>
      <c r="D98" s="35">
        <v>42209.24346226034</v>
      </c>
      <c r="E98" s="35">
        <v>49526.861718345761</v>
      </c>
      <c r="F98" s="1"/>
    </row>
    <row r="99" spans="1:6" x14ac:dyDescent="0.4">
      <c r="A99" s="2">
        <v>48500</v>
      </c>
      <c r="B99" s="34">
        <v>31883.935487799255</v>
      </c>
      <c r="C99" s="34">
        <v>31883.935487799255</v>
      </c>
      <c r="D99" s="35">
        <v>42554.15120911038</v>
      </c>
      <c r="E99" s="35">
        <v>50042.766527911874</v>
      </c>
      <c r="F99" s="1"/>
    </row>
    <row r="100" spans="1:6" x14ac:dyDescent="0.4">
      <c r="A100" s="2">
        <v>49000</v>
      </c>
      <c r="B100" s="34">
        <v>31883.935487799255</v>
      </c>
      <c r="C100" s="34">
        <v>31883.935487799255</v>
      </c>
      <c r="D100" s="35">
        <v>42899.05895596042</v>
      </c>
      <c r="E100" s="35">
        <v>50558.671337477979</v>
      </c>
      <c r="F100" s="1"/>
    </row>
    <row r="101" spans="1:6" x14ac:dyDescent="0.4">
      <c r="A101" s="2">
        <v>49500</v>
      </c>
      <c r="B101" s="34">
        <v>31883.935487799255</v>
      </c>
      <c r="C101" s="34">
        <v>31883.935487799255</v>
      </c>
      <c r="D101" s="35">
        <v>43243.96670281046</v>
      </c>
      <c r="E101" s="35">
        <v>51074.576147044078</v>
      </c>
      <c r="F101" s="1"/>
    </row>
    <row r="102" spans="1:6" x14ac:dyDescent="0.4">
      <c r="A102" s="2">
        <v>50000</v>
      </c>
      <c r="B102" s="34">
        <v>31883.935487799255</v>
      </c>
      <c r="C102" s="34">
        <v>31883.935487799255</v>
      </c>
      <c r="D102" s="35">
        <v>43588.8744496605</v>
      </c>
      <c r="E102" s="35">
        <v>51590.480956610183</v>
      </c>
      <c r="F102" s="1"/>
    </row>
    <row r="103" spans="1:6" x14ac:dyDescent="0.4">
      <c r="B103" s="35"/>
      <c r="C103" s="35"/>
      <c r="D103" s="35"/>
      <c r="E103" s="35"/>
      <c r="F103" s="1"/>
    </row>
    <row r="104" spans="1:6" x14ac:dyDescent="0.4">
      <c r="B104" s="35"/>
      <c r="C104" s="35"/>
      <c r="D104" s="35"/>
      <c r="E104" s="35"/>
      <c r="F104" s="1"/>
    </row>
    <row r="105" spans="1:6" x14ac:dyDescent="0.4">
      <c r="B105" s="35"/>
      <c r="C105" s="35"/>
      <c r="D105" s="35"/>
      <c r="E105" s="35"/>
      <c r="F105" s="1"/>
    </row>
    <row r="106" spans="1:6" x14ac:dyDescent="0.4">
      <c r="B106" s="35"/>
      <c r="C106" s="35"/>
      <c r="D106" s="35"/>
      <c r="E106" s="35"/>
      <c r="F106" s="1"/>
    </row>
    <row r="107" spans="1:6" x14ac:dyDescent="0.4">
      <c r="B107" s="35"/>
      <c r="C107" s="35"/>
      <c r="D107" s="35"/>
      <c r="E107" s="35"/>
      <c r="F107" s="1"/>
    </row>
    <row r="108" spans="1:6" x14ac:dyDescent="0.4">
      <c r="B108" s="35"/>
      <c r="C108" s="35"/>
      <c r="D108" s="35"/>
      <c r="E108" s="35"/>
      <c r="F108" s="1"/>
    </row>
    <row r="109" spans="1:6" x14ac:dyDescent="0.4">
      <c r="B109" s="35"/>
      <c r="C109" s="35"/>
      <c r="D109" s="35"/>
      <c r="E109" s="35"/>
      <c r="F109" s="1"/>
    </row>
    <row r="110" spans="1:6" x14ac:dyDescent="0.4">
      <c r="B110" s="35"/>
      <c r="C110" s="35"/>
      <c r="D110" s="35"/>
      <c r="E110" s="35"/>
      <c r="F110" s="1"/>
    </row>
    <row r="111" spans="1:6" x14ac:dyDescent="0.4">
      <c r="B111" s="35"/>
      <c r="C111" s="35"/>
      <c r="D111" s="35"/>
      <c r="E111" s="35"/>
      <c r="F111" s="1"/>
    </row>
    <row r="112" spans="1:6" x14ac:dyDescent="0.4">
      <c r="B112" s="35"/>
      <c r="C112" s="35"/>
      <c r="D112" s="35"/>
      <c r="E112" s="35"/>
      <c r="F112" s="1"/>
    </row>
    <row r="113" spans="2:6" x14ac:dyDescent="0.4">
      <c r="B113" s="35"/>
      <c r="C113" s="35"/>
      <c r="D113" s="35"/>
      <c r="E113" s="35"/>
      <c r="F113" s="1"/>
    </row>
    <row r="114" spans="2:6" x14ac:dyDescent="0.4">
      <c r="B114" s="35"/>
      <c r="C114" s="35"/>
      <c r="D114" s="35"/>
      <c r="E114" s="35"/>
      <c r="F114" s="1"/>
    </row>
    <row r="115" spans="2:6" x14ac:dyDescent="0.4">
      <c r="B115" s="35"/>
      <c r="C115" s="35"/>
      <c r="D115" s="35"/>
      <c r="E115" s="35"/>
      <c r="F115" s="1"/>
    </row>
    <row r="116" spans="2:6" x14ac:dyDescent="0.4">
      <c r="B116" s="35"/>
      <c r="C116" s="35"/>
      <c r="D116" s="35"/>
      <c r="E116" s="35"/>
      <c r="F116" s="1"/>
    </row>
    <row r="117" spans="2:6" x14ac:dyDescent="0.4">
      <c r="B117" s="35"/>
      <c r="C117" s="35"/>
      <c r="D117" s="35"/>
      <c r="E117" s="35"/>
      <c r="F117" s="1"/>
    </row>
    <row r="118" spans="2:6" x14ac:dyDescent="0.4">
      <c r="B118" s="35"/>
      <c r="C118" s="35"/>
      <c r="D118" s="35"/>
      <c r="E118" s="35"/>
      <c r="F118" s="1"/>
    </row>
    <row r="119" spans="2:6" x14ac:dyDescent="0.4">
      <c r="B119" s="35"/>
      <c r="C119" s="35"/>
      <c r="D119" s="35"/>
      <c r="E119" s="35"/>
      <c r="F119" s="1"/>
    </row>
    <row r="120" spans="2:6" x14ac:dyDescent="0.4">
      <c r="B120" s="35"/>
      <c r="C120" s="35"/>
      <c r="D120" s="35"/>
      <c r="E120" s="35"/>
      <c r="F120" s="1"/>
    </row>
    <row r="121" spans="2:6" x14ac:dyDescent="0.4">
      <c r="B121" s="35"/>
      <c r="C121" s="35"/>
      <c r="D121" s="35"/>
      <c r="E121" s="35"/>
      <c r="F121" s="1"/>
    </row>
    <row r="122" spans="2:6" x14ac:dyDescent="0.4">
      <c r="B122" s="35"/>
      <c r="C122" s="35"/>
      <c r="D122" s="35"/>
      <c r="E122" s="35"/>
      <c r="F122" s="1"/>
    </row>
    <row r="123" spans="2:6" x14ac:dyDescent="0.4">
      <c r="B123" s="35"/>
      <c r="C123" s="35"/>
      <c r="D123" s="35"/>
      <c r="E123" s="35"/>
      <c r="F123" s="1"/>
    </row>
    <row r="124" spans="2:6" x14ac:dyDescent="0.4">
      <c r="B124" s="35"/>
      <c r="C124" s="35"/>
      <c r="D124" s="35"/>
      <c r="E124" s="35"/>
      <c r="F124" s="1"/>
    </row>
    <row r="125" spans="2:6" x14ac:dyDescent="0.4">
      <c r="B125" s="35"/>
      <c r="C125" s="35"/>
      <c r="D125" s="35"/>
      <c r="E125" s="35"/>
      <c r="F125" s="1"/>
    </row>
    <row r="126" spans="2:6" x14ac:dyDescent="0.4">
      <c r="B126" s="35"/>
      <c r="C126" s="35"/>
      <c r="D126" s="35"/>
      <c r="E126" s="35"/>
      <c r="F126" s="1"/>
    </row>
    <row r="127" spans="2:6" x14ac:dyDescent="0.4">
      <c r="B127" s="35"/>
      <c r="C127" s="35"/>
      <c r="D127" s="35"/>
      <c r="E127" s="35"/>
      <c r="F127" s="1"/>
    </row>
    <row r="128" spans="2:6" x14ac:dyDescent="0.4">
      <c r="B128" s="35"/>
      <c r="C128" s="35"/>
      <c r="D128" s="35"/>
      <c r="E128" s="35"/>
      <c r="F128" s="1"/>
    </row>
    <row r="129" spans="2:6" x14ac:dyDescent="0.4">
      <c r="B129" s="35"/>
      <c r="C129" s="35"/>
      <c r="D129" s="35"/>
      <c r="E129" s="35"/>
      <c r="F129" s="1"/>
    </row>
    <row r="130" spans="2:6" x14ac:dyDescent="0.4">
      <c r="B130" s="35"/>
      <c r="C130" s="35"/>
      <c r="D130" s="35"/>
      <c r="E130" s="35"/>
      <c r="F130" s="1"/>
    </row>
    <row r="131" spans="2:6" x14ac:dyDescent="0.4">
      <c r="B131" s="35"/>
      <c r="C131" s="35"/>
      <c r="D131" s="35"/>
      <c r="E131" s="35"/>
      <c r="F131" s="1"/>
    </row>
    <row r="132" spans="2:6" x14ac:dyDescent="0.4">
      <c r="B132" s="35"/>
      <c r="C132" s="35"/>
      <c r="D132" s="35"/>
      <c r="E132" s="35"/>
      <c r="F132" s="1"/>
    </row>
    <row r="133" spans="2:6" x14ac:dyDescent="0.4">
      <c r="B133" s="35"/>
      <c r="C133" s="35"/>
      <c r="D133" s="35"/>
      <c r="E133" s="35"/>
      <c r="F133" s="1"/>
    </row>
    <row r="134" spans="2:6" x14ac:dyDescent="0.4">
      <c r="B134" s="35"/>
      <c r="C134" s="35"/>
      <c r="D134" s="35"/>
      <c r="E134" s="35"/>
      <c r="F134" s="1"/>
    </row>
    <row r="135" spans="2:6" x14ac:dyDescent="0.4">
      <c r="B135" s="35"/>
      <c r="C135" s="35"/>
      <c r="D135" s="35"/>
      <c r="E135" s="35"/>
      <c r="F135" s="1"/>
    </row>
    <row r="136" spans="2:6" x14ac:dyDescent="0.4">
      <c r="B136" s="35"/>
      <c r="C136" s="35"/>
      <c r="D136" s="35"/>
      <c r="E136" s="35"/>
      <c r="F136" s="1"/>
    </row>
    <row r="137" spans="2:6" x14ac:dyDescent="0.4">
      <c r="B137" s="35"/>
      <c r="C137" s="35"/>
      <c r="D137" s="35"/>
      <c r="E137" s="35"/>
      <c r="F137" s="1"/>
    </row>
    <row r="138" spans="2:6" x14ac:dyDescent="0.4">
      <c r="B138" s="35"/>
      <c r="C138" s="35"/>
      <c r="D138" s="35"/>
      <c r="E138" s="35"/>
      <c r="F138" s="1"/>
    </row>
    <row r="139" spans="2:6" x14ac:dyDescent="0.4">
      <c r="B139" s="35"/>
      <c r="C139" s="35"/>
      <c r="D139" s="35"/>
      <c r="E139" s="35"/>
      <c r="F139" s="1"/>
    </row>
    <row r="140" spans="2:6" x14ac:dyDescent="0.4">
      <c r="B140" s="35"/>
      <c r="C140" s="35"/>
      <c r="D140" s="35"/>
      <c r="E140" s="35"/>
      <c r="F140" s="1"/>
    </row>
    <row r="141" spans="2:6" x14ac:dyDescent="0.4">
      <c r="B141" s="35"/>
      <c r="C141" s="35"/>
      <c r="D141" s="35"/>
      <c r="E141" s="35"/>
      <c r="F141" s="1"/>
    </row>
    <row r="142" spans="2:6" x14ac:dyDescent="0.4">
      <c r="B142" s="35"/>
      <c r="C142" s="35"/>
      <c r="D142" s="35"/>
      <c r="E142" s="35"/>
      <c r="F142" s="1"/>
    </row>
    <row r="143" spans="2:6" x14ac:dyDescent="0.4">
      <c r="B143" s="35"/>
      <c r="C143" s="35"/>
      <c r="D143" s="35"/>
      <c r="E143" s="35"/>
      <c r="F143" s="1"/>
    </row>
    <row r="144" spans="2:6" x14ac:dyDescent="0.4">
      <c r="B144" s="35"/>
      <c r="C144" s="35"/>
      <c r="D144" s="35"/>
      <c r="E144" s="35"/>
      <c r="F144" s="1"/>
    </row>
    <row r="145" spans="2:6" x14ac:dyDescent="0.4">
      <c r="B145" s="35"/>
      <c r="C145" s="35"/>
      <c r="D145" s="35"/>
      <c r="E145" s="35"/>
      <c r="F145" s="1"/>
    </row>
    <row r="146" spans="2:6" x14ac:dyDescent="0.4">
      <c r="B146" s="35"/>
      <c r="C146" s="35"/>
      <c r="D146" s="35"/>
      <c r="E146" s="35"/>
      <c r="F146" s="1"/>
    </row>
    <row r="147" spans="2:6" x14ac:dyDescent="0.4">
      <c r="B147" s="35"/>
      <c r="C147" s="35"/>
      <c r="D147" s="35"/>
      <c r="E147" s="35"/>
      <c r="F147" s="1"/>
    </row>
    <row r="148" spans="2:6" x14ac:dyDescent="0.4">
      <c r="B148" s="35"/>
      <c r="C148" s="35"/>
      <c r="D148" s="35"/>
      <c r="E148" s="35"/>
      <c r="F148" s="1"/>
    </row>
    <row r="149" spans="2:6" x14ac:dyDescent="0.4">
      <c r="B149" s="35"/>
      <c r="C149" s="35"/>
      <c r="D149" s="35"/>
      <c r="E149" s="35"/>
      <c r="F149" s="1"/>
    </row>
    <row r="150" spans="2:6" x14ac:dyDescent="0.4">
      <c r="B150" s="35"/>
      <c r="C150" s="35"/>
      <c r="D150" s="35"/>
      <c r="E150" s="35"/>
      <c r="F150" s="1"/>
    </row>
    <row r="151" spans="2:6" x14ac:dyDescent="0.4">
      <c r="B151" s="35"/>
      <c r="C151" s="35"/>
      <c r="D151" s="35"/>
      <c r="E151" s="35"/>
      <c r="F151" s="1"/>
    </row>
    <row r="152" spans="2:6" x14ac:dyDescent="0.4">
      <c r="B152" s="35"/>
      <c r="C152" s="35"/>
      <c r="D152" s="35"/>
      <c r="E152" s="35"/>
      <c r="F152" s="1"/>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75"/>
  <sheetViews>
    <sheetView tabSelected="1" zoomScale="60" zoomScaleNormal="60" workbookViewId="0">
      <selection activeCell="D1" sqref="D1:J1048576"/>
    </sheetView>
  </sheetViews>
  <sheetFormatPr defaultRowHeight="19.5" x14ac:dyDescent="0.4"/>
  <cols>
    <col min="1" max="1" width="16.375" customWidth="1"/>
    <col min="2" max="3" width="14.25" customWidth="1"/>
    <col min="4" max="4" width="10.875" customWidth="1"/>
    <col min="5" max="5" width="9.5" customWidth="1"/>
    <col min="6" max="6" width="16.125" customWidth="1"/>
    <col min="7" max="7" width="17.125" customWidth="1"/>
    <col min="8" max="10" width="16.875" customWidth="1"/>
    <col min="11" max="11" width="17.125" customWidth="1"/>
    <col min="12" max="12" width="18.125" customWidth="1"/>
  </cols>
  <sheetData>
    <row r="1" spans="1:12" x14ac:dyDescent="0.4">
      <c r="A1" s="43">
        <f>INDEX(Sheet1!$A$3:$A$62, MATCH(0,Sheet1!$M$3:$M$62,0))</f>
        <v>11</v>
      </c>
    </row>
    <row r="2" spans="1:12" x14ac:dyDescent="0.4">
      <c r="A2" t="s">
        <v>22</v>
      </c>
      <c r="D2" s="1">
        <v>5000</v>
      </c>
      <c r="E2" s="1">
        <v>10000</v>
      </c>
      <c r="F2" s="1">
        <v>20000</v>
      </c>
      <c r="G2" s="1">
        <v>30000</v>
      </c>
      <c r="H2" s="1">
        <v>50000</v>
      </c>
      <c r="I2" s="1">
        <v>100000</v>
      </c>
      <c r="J2" s="1">
        <v>150000</v>
      </c>
      <c r="K2" s="3" t="s">
        <v>42</v>
      </c>
      <c r="L2" s="3"/>
    </row>
    <row r="3" spans="1:12" x14ac:dyDescent="0.4">
      <c r="A3" s="2">
        <v>5000</v>
      </c>
      <c r="B3" t="e">
        <v>#N/A</v>
      </c>
      <c r="D3">
        <v>22</v>
      </c>
      <c r="E3">
        <v>43</v>
      </c>
      <c r="F3">
        <v>60</v>
      </c>
      <c r="G3">
        <v>60</v>
      </c>
      <c r="H3">
        <v>60</v>
      </c>
      <c r="I3">
        <v>60</v>
      </c>
      <c r="J3">
        <v>60</v>
      </c>
      <c r="K3" s="3" t="s">
        <v>31</v>
      </c>
      <c r="L3" s="36">
        <f>Sheet1!P9</f>
        <v>100000</v>
      </c>
    </row>
    <row r="4" spans="1:12" x14ac:dyDescent="0.4">
      <c r="A4" s="2">
        <v>5500</v>
      </c>
      <c r="B4" t="e">
        <v>#N/A</v>
      </c>
      <c r="D4">
        <v>22</v>
      </c>
      <c r="E4">
        <v>43</v>
      </c>
      <c r="F4">
        <v>60</v>
      </c>
      <c r="G4">
        <v>60</v>
      </c>
      <c r="H4">
        <v>60</v>
      </c>
      <c r="I4">
        <v>60</v>
      </c>
      <c r="J4">
        <v>60</v>
      </c>
      <c r="K4" s="3" t="s">
        <v>41</v>
      </c>
    </row>
    <row r="5" spans="1:12" x14ac:dyDescent="0.4">
      <c r="A5" s="2">
        <v>6000</v>
      </c>
      <c r="B5" t="e">
        <v>#N/A</v>
      </c>
      <c r="D5">
        <v>22</v>
      </c>
      <c r="E5">
        <v>43</v>
      </c>
      <c r="F5">
        <v>60</v>
      </c>
      <c r="G5">
        <v>60</v>
      </c>
      <c r="H5">
        <v>60</v>
      </c>
      <c r="I5">
        <v>60</v>
      </c>
      <c r="J5">
        <v>60</v>
      </c>
    </row>
    <row r="6" spans="1:12" x14ac:dyDescent="0.4">
      <c r="A6" s="2">
        <v>6500</v>
      </c>
      <c r="B6" t="e">
        <v>#N/A</v>
      </c>
      <c r="D6">
        <v>22</v>
      </c>
      <c r="E6">
        <v>43</v>
      </c>
      <c r="F6">
        <v>60</v>
      </c>
      <c r="G6">
        <v>60</v>
      </c>
      <c r="H6">
        <v>60</v>
      </c>
      <c r="I6">
        <v>60</v>
      </c>
      <c r="J6">
        <v>60</v>
      </c>
    </row>
    <row r="7" spans="1:12" x14ac:dyDescent="0.4">
      <c r="A7" s="2">
        <v>7000</v>
      </c>
      <c r="B7" t="e">
        <v>#N/A</v>
      </c>
      <c r="D7">
        <v>22</v>
      </c>
      <c r="E7">
        <v>43</v>
      </c>
      <c r="F7">
        <v>60</v>
      </c>
      <c r="G7">
        <v>60</v>
      </c>
      <c r="H7">
        <v>60</v>
      </c>
      <c r="I7">
        <v>60</v>
      </c>
      <c r="J7">
        <v>60</v>
      </c>
    </row>
    <row r="8" spans="1:12" x14ac:dyDescent="0.4">
      <c r="A8" s="2">
        <v>7500</v>
      </c>
      <c r="B8" t="e">
        <v>#N/A</v>
      </c>
      <c r="D8">
        <v>22</v>
      </c>
      <c r="E8">
        <v>43</v>
      </c>
      <c r="F8">
        <v>59</v>
      </c>
      <c r="G8">
        <v>60</v>
      </c>
      <c r="H8">
        <v>60</v>
      </c>
      <c r="I8">
        <v>60</v>
      </c>
      <c r="J8">
        <v>60</v>
      </c>
    </row>
    <row r="9" spans="1:12" x14ac:dyDescent="0.4">
      <c r="A9" s="2">
        <v>8000</v>
      </c>
      <c r="B9" t="e">
        <v>#N/A</v>
      </c>
      <c r="D9">
        <v>22</v>
      </c>
      <c r="E9">
        <v>43</v>
      </c>
      <c r="F9">
        <v>56</v>
      </c>
      <c r="G9">
        <v>60</v>
      </c>
      <c r="H9">
        <v>60</v>
      </c>
      <c r="I9">
        <v>60</v>
      </c>
      <c r="J9">
        <v>60</v>
      </c>
    </row>
    <row r="10" spans="1:12" x14ac:dyDescent="0.4">
      <c r="A10" s="2">
        <v>8500</v>
      </c>
      <c r="B10" t="e">
        <v>#N/A</v>
      </c>
      <c r="D10">
        <v>22</v>
      </c>
      <c r="E10">
        <v>43</v>
      </c>
      <c r="F10">
        <v>54</v>
      </c>
      <c r="G10">
        <v>58</v>
      </c>
      <c r="H10">
        <v>60</v>
      </c>
      <c r="I10">
        <v>60</v>
      </c>
      <c r="J10">
        <v>60</v>
      </c>
    </row>
    <row r="11" spans="1:12" x14ac:dyDescent="0.4">
      <c r="A11" s="2">
        <v>9000</v>
      </c>
      <c r="B11" t="e">
        <v>#N/A</v>
      </c>
      <c r="D11">
        <v>22</v>
      </c>
      <c r="E11">
        <v>42</v>
      </c>
      <c r="F11">
        <v>52</v>
      </c>
      <c r="G11">
        <v>56</v>
      </c>
      <c r="H11">
        <v>60</v>
      </c>
      <c r="I11">
        <v>60</v>
      </c>
      <c r="J11">
        <v>60</v>
      </c>
    </row>
    <row r="12" spans="1:12" x14ac:dyDescent="0.4">
      <c r="A12" s="2">
        <v>9500</v>
      </c>
      <c r="B12" t="e">
        <v>#N/A</v>
      </c>
      <c r="D12">
        <v>22</v>
      </c>
      <c r="E12">
        <v>41</v>
      </c>
      <c r="F12">
        <v>50</v>
      </c>
      <c r="G12">
        <v>54</v>
      </c>
      <c r="H12">
        <v>60</v>
      </c>
      <c r="I12">
        <v>60</v>
      </c>
      <c r="J12">
        <v>60</v>
      </c>
    </row>
    <row r="13" spans="1:12" x14ac:dyDescent="0.4">
      <c r="A13" s="2">
        <v>10000</v>
      </c>
      <c r="B13" t="e">
        <v>#N/A</v>
      </c>
      <c r="D13">
        <v>22</v>
      </c>
      <c r="E13">
        <v>39</v>
      </c>
      <c r="F13">
        <v>48</v>
      </c>
      <c r="G13">
        <v>52</v>
      </c>
      <c r="H13">
        <v>58</v>
      </c>
      <c r="I13">
        <v>60</v>
      </c>
      <c r="J13">
        <v>60</v>
      </c>
    </row>
    <row r="14" spans="1:12" x14ac:dyDescent="0.4">
      <c r="A14" s="2">
        <v>10500</v>
      </c>
      <c r="B14" t="e">
        <v>#N/A</v>
      </c>
      <c r="D14">
        <v>22</v>
      </c>
      <c r="E14">
        <v>38</v>
      </c>
      <c r="F14">
        <v>46</v>
      </c>
      <c r="G14">
        <v>50</v>
      </c>
      <c r="H14">
        <v>56</v>
      </c>
      <c r="I14">
        <v>60</v>
      </c>
      <c r="J14">
        <v>60</v>
      </c>
    </row>
    <row r="15" spans="1:12" x14ac:dyDescent="0.4">
      <c r="A15" s="2">
        <v>11000</v>
      </c>
      <c r="B15" t="e">
        <v>#N/A</v>
      </c>
      <c r="D15">
        <v>22</v>
      </c>
      <c r="E15">
        <v>36</v>
      </c>
      <c r="F15">
        <v>44</v>
      </c>
      <c r="G15">
        <v>48</v>
      </c>
      <c r="H15">
        <v>54</v>
      </c>
      <c r="I15">
        <v>60</v>
      </c>
      <c r="J15">
        <v>60</v>
      </c>
    </row>
    <row r="16" spans="1:12" x14ac:dyDescent="0.4">
      <c r="A16" s="2">
        <v>11500</v>
      </c>
      <c r="B16" t="e">
        <v>#N/A</v>
      </c>
      <c r="D16">
        <v>22</v>
      </c>
      <c r="E16">
        <v>35</v>
      </c>
      <c r="F16">
        <v>42</v>
      </c>
      <c r="G16">
        <v>47</v>
      </c>
      <c r="H16">
        <v>53</v>
      </c>
      <c r="I16">
        <v>60</v>
      </c>
      <c r="J16">
        <v>60</v>
      </c>
    </row>
    <row r="17" spans="1:10" x14ac:dyDescent="0.4">
      <c r="A17" s="2">
        <v>12000</v>
      </c>
      <c r="B17">
        <v>60</v>
      </c>
      <c r="D17">
        <v>22</v>
      </c>
      <c r="E17">
        <v>34</v>
      </c>
      <c r="F17">
        <v>41</v>
      </c>
      <c r="G17">
        <v>45</v>
      </c>
      <c r="H17">
        <v>51</v>
      </c>
      <c r="I17">
        <v>60</v>
      </c>
      <c r="J17">
        <v>60</v>
      </c>
    </row>
    <row r="18" spans="1:10" x14ac:dyDescent="0.4">
      <c r="A18" s="2">
        <v>12500</v>
      </c>
      <c r="B18">
        <v>58</v>
      </c>
      <c r="D18">
        <v>22</v>
      </c>
      <c r="E18">
        <v>32</v>
      </c>
      <c r="F18">
        <v>39</v>
      </c>
      <c r="G18">
        <v>44</v>
      </c>
      <c r="H18">
        <v>49</v>
      </c>
      <c r="I18">
        <v>58</v>
      </c>
      <c r="J18">
        <v>60</v>
      </c>
    </row>
    <row r="19" spans="1:10" x14ac:dyDescent="0.4">
      <c r="A19" s="2">
        <v>13000</v>
      </c>
      <c r="B19">
        <v>57</v>
      </c>
      <c r="D19">
        <v>22</v>
      </c>
      <c r="E19">
        <v>31</v>
      </c>
      <c r="F19">
        <v>38</v>
      </c>
      <c r="G19">
        <v>42</v>
      </c>
      <c r="H19">
        <v>48</v>
      </c>
      <c r="I19">
        <v>57</v>
      </c>
      <c r="J19">
        <v>60</v>
      </c>
    </row>
    <row r="20" spans="1:10" x14ac:dyDescent="0.4">
      <c r="A20" s="2">
        <v>13500</v>
      </c>
      <c r="B20">
        <v>56</v>
      </c>
      <c r="D20">
        <v>22</v>
      </c>
      <c r="E20">
        <v>30</v>
      </c>
      <c r="F20">
        <v>36</v>
      </c>
      <c r="G20">
        <v>41</v>
      </c>
      <c r="H20">
        <v>47</v>
      </c>
      <c r="I20">
        <v>56</v>
      </c>
      <c r="J20">
        <v>60</v>
      </c>
    </row>
    <row r="21" spans="1:10" x14ac:dyDescent="0.4">
      <c r="A21" s="2">
        <v>14000</v>
      </c>
      <c r="B21">
        <v>54</v>
      </c>
      <c r="D21">
        <v>21</v>
      </c>
      <c r="E21">
        <v>28</v>
      </c>
      <c r="F21">
        <v>35</v>
      </c>
      <c r="G21">
        <v>39</v>
      </c>
      <c r="H21">
        <v>45</v>
      </c>
      <c r="I21">
        <v>54</v>
      </c>
      <c r="J21">
        <v>60</v>
      </c>
    </row>
    <row r="22" spans="1:10" x14ac:dyDescent="0.4">
      <c r="A22" s="2">
        <v>14500</v>
      </c>
      <c r="B22">
        <v>53</v>
      </c>
      <c r="D22">
        <v>21</v>
      </c>
      <c r="E22">
        <v>27</v>
      </c>
      <c r="F22">
        <v>34</v>
      </c>
      <c r="G22">
        <v>38</v>
      </c>
      <c r="H22">
        <v>44</v>
      </c>
      <c r="I22">
        <v>53</v>
      </c>
      <c r="J22">
        <v>59</v>
      </c>
    </row>
    <row r="23" spans="1:10" x14ac:dyDescent="0.4">
      <c r="A23" s="2">
        <v>15000</v>
      </c>
      <c r="B23">
        <v>52</v>
      </c>
      <c r="D23">
        <v>20</v>
      </c>
      <c r="E23">
        <v>26</v>
      </c>
      <c r="F23">
        <v>32</v>
      </c>
      <c r="G23">
        <v>37</v>
      </c>
      <c r="H23">
        <v>43</v>
      </c>
      <c r="I23">
        <v>52</v>
      </c>
      <c r="J23">
        <v>58</v>
      </c>
    </row>
    <row r="24" spans="1:10" x14ac:dyDescent="0.4">
      <c r="A24" s="2">
        <v>15500</v>
      </c>
      <c r="B24">
        <v>51</v>
      </c>
      <c r="D24">
        <v>19</v>
      </c>
      <c r="E24">
        <v>25</v>
      </c>
      <c r="F24">
        <v>31</v>
      </c>
      <c r="G24">
        <v>36</v>
      </c>
      <c r="H24">
        <v>41</v>
      </c>
      <c r="I24">
        <v>51</v>
      </c>
      <c r="J24">
        <v>57</v>
      </c>
    </row>
    <row r="25" spans="1:10" x14ac:dyDescent="0.4">
      <c r="A25" s="2">
        <v>16000</v>
      </c>
      <c r="B25">
        <v>50</v>
      </c>
      <c r="D25">
        <v>18</v>
      </c>
      <c r="E25">
        <v>24</v>
      </c>
      <c r="F25">
        <v>30</v>
      </c>
      <c r="G25">
        <v>34</v>
      </c>
      <c r="H25">
        <v>40</v>
      </c>
      <c r="I25">
        <v>50</v>
      </c>
      <c r="J25">
        <v>56</v>
      </c>
    </row>
    <row r="26" spans="1:10" x14ac:dyDescent="0.4">
      <c r="A26" s="2">
        <v>16500</v>
      </c>
      <c r="B26">
        <v>49</v>
      </c>
      <c r="D26">
        <v>17</v>
      </c>
      <c r="E26">
        <v>23</v>
      </c>
      <c r="F26">
        <v>29</v>
      </c>
      <c r="G26">
        <v>33</v>
      </c>
      <c r="H26">
        <v>39</v>
      </c>
      <c r="I26">
        <v>49</v>
      </c>
      <c r="J26">
        <v>55</v>
      </c>
    </row>
    <row r="27" spans="1:10" x14ac:dyDescent="0.4">
      <c r="A27" s="2">
        <v>17000</v>
      </c>
      <c r="B27">
        <v>48</v>
      </c>
      <c r="D27">
        <v>16</v>
      </c>
      <c r="E27">
        <v>22</v>
      </c>
      <c r="F27">
        <v>28</v>
      </c>
      <c r="G27">
        <v>32</v>
      </c>
      <c r="H27">
        <v>38</v>
      </c>
      <c r="I27">
        <v>48</v>
      </c>
      <c r="J27">
        <v>54</v>
      </c>
    </row>
    <row r="28" spans="1:10" x14ac:dyDescent="0.4">
      <c r="A28" s="2">
        <v>17500</v>
      </c>
      <c r="B28">
        <v>46</v>
      </c>
      <c r="D28">
        <v>15</v>
      </c>
      <c r="E28">
        <v>21</v>
      </c>
      <c r="F28">
        <v>27</v>
      </c>
      <c r="G28">
        <v>31</v>
      </c>
      <c r="H28">
        <v>37</v>
      </c>
      <c r="I28">
        <v>46</v>
      </c>
      <c r="J28">
        <v>53</v>
      </c>
    </row>
    <row r="29" spans="1:10" x14ac:dyDescent="0.4">
      <c r="A29" s="2">
        <v>18000</v>
      </c>
      <c r="B29">
        <v>46</v>
      </c>
      <c r="D29">
        <v>15</v>
      </c>
      <c r="E29">
        <v>20</v>
      </c>
      <c r="F29">
        <v>26</v>
      </c>
      <c r="G29">
        <v>30</v>
      </c>
      <c r="H29">
        <v>36</v>
      </c>
      <c r="I29">
        <v>46</v>
      </c>
      <c r="J29">
        <v>52</v>
      </c>
    </row>
    <row r="30" spans="1:10" x14ac:dyDescent="0.4">
      <c r="A30" s="2">
        <v>18500</v>
      </c>
      <c r="B30">
        <v>45</v>
      </c>
      <c r="D30">
        <v>14</v>
      </c>
      <c r="E30">
        <v>19</v>
      </c>
      <c r="F30">
        <v>25</v>
      </c>
      <c r="G30">
        <v>29</v>
      </c>
      <c r="H30">
        <v>35</v>
      </c>
      <c r="I30">
        <v>45</v>
      </c>
      <c r="J30">
        <v>51</v>
      </c>
    </row>
    <row r="31" spans="1:10" x14ac:dyDescent="0.4">
      <c r="A31" s="2">
        <v>19000</v>
      </c>
      <c r="B31">
        <v>44</v>
      </c>
      <c r="D31">
        <v>13</v>
      </c>
      <c r="E31">
        <v>18</v>
      </c>
      <c r="F31">
        <v>24</v>
      </c>
      <c r="G31">
        <v>28</v>
      </c>
      <c r="H31">
        <v>34</v>
      </c>
      <c r="I31">
        <v>44</v>
      </c>
      <c r="J31">
        <v>50</v>
      </c>
    </row>
    <row r="32" spans="1:10" x14ac:dyDescent="0.4">
      <c r="A32" s="2">
        <v>19500</v>
      </c>
      <c r="B32">
        <v>43</v>
      </c>
      <c r="D32">
        <v>12</v>
      </c>
      <c r="E32">
        <v>17</v>
      </c>
      <c r="F32">
        <v>23</v>
      </c>
      <c r="G32">
        <v>27</v>
      </c>
      <c r="H32">
        <v>33</v>
      </c>
      <c r="I32">
        <v>43</v>
      </c>
      <c r="J32">
        <v>49</v>
      </c>
    </row>
    <row r="33" spans="1:10" x14ac:dyDescent="0.4">
      <c r="A33" s="2">
        <v>20000</v>
      </c>
      <c r="B33">
        <v>42</v>
      </c>
      <c r="D33">
        <v>11</v>
      </c>
      <c r="E33">
        <v>16</v>
      </c>
      <c r="F33">
        <v>22</v>
      </c>
      <c r="G33">
        <v>26</v>
      </c>
      <c r="H33">
        <v>32</v>
      </c>
      <c r="I33">
        <v>42</v>
      </c>
      <c r="J33">
        <v>48</v>
      </c>
    </row>
    <row r="34" spans="1:10" x14ac:dyDescent="0.4">
      <c r="A34" s="2">
        <v>20500</v>
      </c>
      <c r="B34">
        <v>41</v>
      </c>
      <c r="D34">
        <v>11</v>
      </c>
      <c r="E34">
        <v>15</v>
      </c>
      <c r="F34">
        <v>21</v>
      </c>
      <c r="G34">
        <v>25</v>
      </c>
      <c r="H34">
        <v>31</v>
      </c>
      <c r="I34">
        <v>41</v>
      </c>
      <c r="J34">
        <v>47</v>
      </c>
    </row>
    <row r="35" spans="1:10" x14ac:dyDescent="0.4">
      <c r="A35" s="2">
        <v>21000</v>
      </c>
      <c r="B35">
        <v>40</v>
      </c>
      <c r="D35">
        <v>10</v>
      </c>
      <c r="E35">
        <v>14</v>
      </c>
      <c r="F35">
        <v>20</v>
      </c>
      <c r="G35">
        <v>25</v>
      </c>
      <c r="H35">
        <v>31</v>
      </c>
      <c r="I35">
        <v>40</v>
      </c>
      <c r="J35">
        <v>47</v>
      </c>
    </row>
    <row r="36" spans="1:10" x14ac:dyDescent="0.4">
      <c r="A36" s="2">
        <v>21500</v>
      </c>
      <c r="B36">
        <v>39</v>
      </c>
      <c r="D36">
        <v>9</v>
      </c>
      <c r="E36">
        <v>14</v>
      </c>
      <c r="F36">
        <v>20</v>
      </c>
      <c r="G36">
        <v>24</v>
      </c>
      <c r="H36">
        <v>30</v>
      </c>
      <c r="I36">
        <v>39</v>
      </c>
      <c r="J36">
        <v>46</v>
      </c>
    </row>
    <row r="37" spans="1:10" x14ac:dyDescent="0.4">
      <c r="A37" s="2">
        <v>22000</v>
      </c>
      <c r="B37">
        <v>39</v>
      </c>
      <c r="D37">
        <v>9</v>
      </c>
      <c r="E37">
        <v>13</v>
      </c>
      <c r="F37">
        <v>19</v>
      </c>
      <c r="G37">
        <v>23</v>
      </c>
      <c r="H37">
        <v>29</v>
      </c>
      <c r="I37">
        <v>39</v>
      </c>
      <c r="J37">
        <v>45</v>
      </c>
    </row>
    <row r="38" spans="1:10" x14ac:dyDescent="0.4">
      <c r="A38" s="2">
        <v>22500</v>
      </c>
      <c r="B38">
        <v>38</v>
      </c>
      <c r="D38">
        <v>8</v>
      </c>
      <c r="E38">
        <v>12</v>
      </c>
      <c r="F38">
        <v>18</v>
      </c>
      <c r="G38">
        <v>22</v>
      </c>
      <c r="H38">
        <v>28</v>
      </c>
      <c r="I38">
        <v>38</v>
      </c>
      <c r="J38">
        <v>44</v>
      </c>
    </row>
    <row r="39" spans="1:10" x14ac:dyDescent="0.4">
      <c r="A39" s="2">
        <v>23000</v>
      </c>
      <c r="B39">
        <v>37</v>
      </c>
      <c r="D39">
        <v>8</v>
      </c>
      <c r="E39">
        <v>12</v>
      </c>
      <c r="F39">
        <v>18</v>
      </c>
      <c r="G39">
        <v>22</v>
      </c>
      <c r="H39">
        <v>28</v>
      </c>
      <c r="I39">
        <v>37</v>
      </c>
      <c r="J39">
        <v>44</v>
      </c>
    </row>
    <row r="40" spans="1:10" x14ac:dyDescent="0.4">
      <c r="A40" s="2">
        <v>23500</v>
      </c>
      <c r="B40">
        <v>37</v>
      </c>
      <c r="D40">
        <v>7</v>
      </c>
      <c r="E40">
        <v>11</v>
      </c>
      <c r="F40">
        <v>17</v>
      </c>
      <c r="G40">
        <v>21</v>
      </c>
      <c r="H40">
        <v>27</v>
      </c>
      <c r="I40">
        <v>37</v>
      </c>
      <c r="J40">
        <v>43</v>
      </c>
    </row>
    <row r="41" spans="1:10" x14ac:dyDescent="0.4">
      <c r="A41" s="2">
        <v>24000</v>
      </c>
      <c r="B41">
        <v>36</v>
      </c>
      <c r="D41">
        <v>7</v>
      </c>
      <c r="E41">
        <v>11</v>
      </c>
      <c r="F41">
        <v>16</v>
      </c>
      <c r="G41">
        <v>20</v>
      </c>
      <c r="H41">
        <v>26</v>
      </c>
      <c r="I41">
        <v>36</v>
      </c>
      <c r="J41">
        <v>42</v>
      </c>
    </row>
    <row r="42" spans="1:10" x14ac:dyDescent="0.4">
      <c r="A42" s="2">
        <v>24500</v>
      </c>
      <c r="B42">
        <v>35</v>
      </c>
      <c r="D42">
        <v>7</v>
      </c>
      <c r="E42">
        <v>10</v>
      </c>
      <c r="F42">
        <v>16</v>
      </c>
      <c r="G42">
        <v>20</v>
      </c>
      <c r="H42">
        <v>26</v>
      </c>
      <c r="I42">
        <v>35</v>
      </c>
      <c r="J42">
        <v>42</v>
      </c>
    </row>
    <row r="43" spans="1:10" x14ac:dyDescent="0.4">
      <c r="A43" s="2">
        <v>25000</v>
      </c>
      <c r="B43">
        <v>35</v>
      </c>
      <c r="D43">
        <v>7</v>
      </c>
      <c r="E43">
        <v>10</v>
      </c>
      <c r="F43">
        <v>15</v>
      </c>
      <c r="G43">
        <v>19</v>
      </c>
      <c r="H43">
        <v>25</v>
      </c>
      <c r="I43">
        <v>35</v>
      </c>
      <c r="J43">
        <v>41</v>
      </c>
    </row>
    <row r="44" spans="1:10" x14ac:dyDescent="0.4">
      <c r="A44" s="2">
        <v>25500</v>
      </c>
      <c r="B44">
        <v>34</v>
      </c>
      <c r="D44">
        <v>6</v>
      </c>
      <c r="E44">
        <v>10</v>
      </c>
      <c r="F44">
        <v>15</v>
      </c>
      <c r="G44">
        <v>19</v>
      </c>
      <c r="H44">
        <v>25</v>
      </c>
      <c r="I44">
        <v>34</v>
      </c>
      <c r="J44">
        <v>40</v>
      </c>
    </row>
    <row r="45" spans="1:10" x14ac:dyDescent="0.4">
      <c r="A45" s="2">
        <v>26000</v>
      </c>
      <c r="B45">
        <v>33</v>
      </c>
      <c r="D45">
        <v>6</v>
      </c>
      <c r="E45">
        <v>9</v>
      </c>
      <c r="F45">
        <v>14</v>
      </c>
      <c r="G45">
        <v>18</v>
      </c>
      <c r="H45">
        <v>24</v>
      </c>
      <c r="I45">
        <v>33</v>
      </c>
      <c r="J45">
        <v>40</v>
      </c>
    </row>
    <row r="46" spans="1:10" x14ac:dyDescent="0.4">
      <c r="A46" s="2">
        <v>26500</v>
      </c>
      <c r="B46">
        <v>33</v>
      </c>
      <c r="D46">
        <v>6</v>
      </c>
      <c r="E46">
        <v>9</v>
      </c>
      <c r="F46">
        <v>14</v>
      </c>
      <c r="G46">
        <v>18</v>
      </c>
      <c r="H46">
        <v>24</v>
      </c>
      <c r="I46">
        <v>33</v>
      </c>
      <c r="J46">
        <v>39</v>
      </c>
    </row>
    <row r="47" spans="1:10" x14ac:dyDescent="0.4">
      <c r="A47" s="2">
        <v>27000</v>
      </c>
      <c r="B47">
        <v>32</v>
      </c>
      <c r="D47">
        <v>6</v>
      </c>
      <c r="E47">
        <v>9</v>
      </c>
      <c r="F47">
        <v>14</v>
      </c>
      <c r="G47">
        <v>17</v>
      </c>
      <c r="H47">
        <v>23</v>
      </c>
      <c r="I47">
        <v>32</v>
      </c>
      <c r="J47">
        <v>39</v>
      </c>
    </row>
    <row r="48" spans="1:10" x14ac:dyDescent="0.4">
      <c r="A48" s="2">
        <v>27500</v>
      </c>
      <c r="B48">
        <v>32</v>
      </c>
      <c r="D48">
        <v>5</v>
      </c>
      <c r="E48">
        <v>9</v>
      </c>
      <c r="F48">
        <v>13</v>
      </c>
      <c r="G48">
        <v>17</v>
      </c>
      <c r="H48">
        <v>23</v>
      </c>
      <c r="I48">
        <v>32</v>
      </c>
      <c r="J48">
        <v>38</v>
      </c>
    </row>
    <row r="49" spans="1:10" x14ac:dyDescent="0.4">
      <c r="A49" s="2">
        <v>28000</v>
      </c>
      <c r="B49">
        <v>31</v>
      </c>
      <c r="D49">
        <v>5</v>
      </c>
      <c r="E49">
        <v>8</v>
      </c>
      <c r="F49">
        <v>13</v>
      </c>
      <c r="G49">
        <v>17</v>
      </c>
      <c r="H49">
        <v>22</v>
      </c>
      <c r="I49">
        <v>31</v>
      </c>
      <c r="J49">
        <v>38</v>
      </c>
    </row>
    <row r="50" spans="1:10" x14ac:dyDescent="0.4">
      <c r="A50" s="2">
        <v>28500</v>
      </c>
      <c r="B50">
        <v>31</v>
      </c>
      <c r="D50">
        <v>5</v>
      </c>
      <c r="E50">
        <v>8</v>
      </c>
      <c r="F50">
        <v>13</v>
      </c>
      <c r="G50">
        <v>16</v>
      </c>
      <c r="H50">
        <v>22</v>
      </c>
      <c r="I50">
        <v>31</v>
      </c>
      <c r="J50">
        <v>37</v>
      </c>
    </row>
    <row r="51" spans="1:10" x14ac:dyDescent="0.4">
      <c r="A51" s="2">
        <v>29000</v>
      </c>
      <c r="B51">
        <v>30</v>
      </c>
      <c r="D51">
        <v>5</v>
      </c>
      <c r="E51">
        <v>8</v>
      </c>
      <c r="F51">
        <v>12</v>
      </c>
      <c r="G51">
        <v>16</v>
      </c>
      <c r="H51">
        <v>21</v>
      </c>
      <c r="I51">
        <v>30</v>
      </c>
      <c r="J51">
        <v>37</v>
      </c>
    </row>
    <row r="52" spans="1:10" x14ac:dyDescent="0.4">
      <c r="A52" s="2">
        <v>29500</v>
      </c>
      <c r="B52">
        <v>30</v>
      </c>
      <c r="D52">
        <v>5</v>
      </c>
      <c r="E52">
        <v>8</v>
      </c>
      <c r="F52">
        <v>12</v>
      </c>
      <c r="G52">
        <v>15</v>
      </c>
      <c r="H52">
        <v>21</v>
      </c>
      <c r="I52">
        <v>30</v>
      </c>
      <c r="J52">
        <v>36</v>
      </c>
    </row>
    <row r="53" spans="1:10" x14ac:dyDescent="0.4">
      <c r="A53" s="2">
        <v>30000</v>
      </c>
      <c r="B53">
        <v>29</v>
      </c>
      <c r="D53">
        <v>5</v>
      </c>
      <c r="E53">
        <v>7</v>
      </c>
      <c r="F53">
        <v>12</v>
      </c>
      <c r="G53">
        <v>15</v>
      </c>
      <c r="H53">
        <v>20</v>
      </c>
      <c r="I53">
        <v>29</v>
      </c>
      <c r="J53">
        <v>36</v>
      </c>
    </row>
    <row r="54" spans="1:10" x14ac:dyDescent="0.4">
      <c r="A54" s="2">
        <v>30500</v>
      </c>
      <c r="B54">
        <v>29</v>
      </c>
      <c r="D54">
        <v>5</v>
      </c>
      <c r="E54">
        <v>7</v>
      </c>
      <c r="F54">
        <v>11</v>
      </c>
      <c r="G54">
        <v>15</v>
      </c>
      <c r="H54">
        <v>20</v>
      </c>
      <c r="I54">
        <v>29</v>
      </c>
      <c r="J54">
        <v>35</v>
      </c>
    </row>
    <row r="55" spans="1:10" x14ac:dyDescent="0.4">
      <c r="A55" s="2">
        <v>31000</v>
      </c>
      <c r="B55">
        <v>29</v>
      </c>
      <c r="D55">
        <v>4</v>
      </c>
      <c r="E55">
        <v>7</v>
      </c>
      <c r="F55">
        <v>11</v>
      </c>
      <c r="G55">
        <v>14</v>
      </c>
      <c r="H55">
        <v>20</v>
      </c>
      <c r="I55">
        <v>29</v>
      </c>
      <c r="J55">
        <v>35</v>
      </c>
    </row>
    <row r="56" spans="1:10" x14ac:dyDescent="0.4">
      <c r="A56" s="2">
        <v>31500</v>
      </c>
      <c r="B56">
        <v>28</v>
      </c>
      <c r="D56">
        <v>4</v>
      </c>
      <c r="E56">
        <v>7</v>
      </c>
      <c r="F56">
        <v>11</v>
      </c>
      <c r="G56">
        <v>14</v>
      </c>
      <c r="H56">
        <v>19</v>
      </c>
      <c r="I56">
        <v>28</v>
      </c>
      <c r="J56">
        <v>34</v>
      </c>
    </row>
    <row r="57" spans="1:10" x14ac:dyDescent="0.4">
      <c r="A57" s="2">
        <v>32000</v>
      </c>
      <c r="B57">
        <v>28</v>
      </c>
      <c r="D57">
        <v>4</v>
      </c>
      <c r="E57">
        <v>7</v>
      </c>
      <c r="F57">
        <v>11</v>
      </c>
      <c r="G57">
        <v>14</v>
      </c>
      <c r="H57">
        <v>19</v>
      </c>
      <c r="I57">
        <v>28</v>
      </c>
      <c r="J57">
        <v>34</v>
      </c>
    </row>
    <row r="58" spans="1:10" x14ac:dyDescent="0.4">
      <c r="A58" s="2">
        <v>32500</v>
      </c>
      <c r="B58">
        <v>27</v>
      </c>
      <c r="D58">
        <v>4</v>
      </c>
      <c r="E58">
        <v>7</v>
      </c>
      <c r="F58">
        <v>10</v>
      </c>
      <c r="G58">
        <v>14</v>
      </c>
      <c r="H58">
        <v>19</v>
      </c>
      <c r="I58">
        <v>27</v>
      </c>
      <c r="J58">
        <v>34</v>
      </c>
    </row>
    <row r="59" spans="1:10" x14ac:dyDescent="0.4">
      <c r="A59" s="2">
        <v>33000</v>
      </c>
      <c r="B59">
        <v>27</v>
      </c>
      <c r="D59">
        <v>4</v>
      </c>
      <c r="E59">
        <v>6</v>
      </c>
      <c r="F59">
        <v>10</v>
      </c>
      <c r="G59">
        <v>13</v>
      </c>
      <c r="H59">
        <v>18</v>
      </c>
      <c r="I59">
        <v>27</v>
      </c>
      <c r="J59">
        <v>33</v>
      </c>
    </row>
    <row r="60" spans="1:10" x14ac:dyDescent="0.4">
      <c r="A60" s="2">
        <v>33500</v>
      </c>
      <c r="B60">
        <v>27</v>
      </c>
      <c r="D60">
        <v>4</v>
      </c>
      <c r="E60">
        <v>6</v>
      </c>
      <c r="F60">
        <v>10</v>
      </c>
      <c r="G60">
        <v>13</v>
      </c>
      <c r="H60">
        <v>18</v>
      </c>
      <c r="I60">
        <v>27</v>
      </c>
      <c r="J60">
        <v>33</v>
      </c>
    </row>
    <row r="61" spans="1:10" x14ac:dyDescent="0.4">
      <c r="A61" s="2">
        <v>34000</v>
      </c>
      <c r="B61">
        <v>26</v>
      </c>
      <c r="D61">
        <v>4</v>
      </c>
      <c r="E61">
        <v>6</v>
      </c>
      <c r="F61">
        <v>10</v>
      </c>
      <c r="G61">
        <v>13</v>
      </c>
      <c r="H61">
        <v>18</v>
      </c>
      <c r="I61">
        <v>26</v>
      </c>
      <c r="J61">
        <v>32</v>
      </c>
    </row>
    <row r="62" spans="1:10" x14ac:dyDescent="0.4">
      <c r="A62" s="2">
        <v>34500</v>
      </c>
      <c r="B62">
        <v>26</v>
      </c>
      <c r="D62">
        <v>4</v>
      </c>
      <c r="E62">
        <v>6</v>
      </c>
      <c r="F62">
        <v>10</v>
      </c>
      <c r="G62">
        <v>13</v>
      </c>
      <c r="H62">
        <v>17</v>
      </c>
      <c r="I62">
        <v>26</v>
      </c>
      <c r="J62">
        <v>32</v>
      </c>
    </row>
    <row r="63" spans="1:10" x14ac:dyDescent="0.4">
      <c r="A63" s="2">
        <v>35000</v>
      </c>
      <c r="B63">
        <v>26</v>
      </c>
      <c r="D63">
        <v>4</v>
      </c>
      <c r="E63">
        <v>6</v>
      </c>
      <c r="F63">
        <v>9</v>
      </c>
      <c r="G63">
        <v>12</v>
      </c>
      <c r="H63">
        <v>17</v>
      </c>
      <c r="I63">
        <v>26</v>
      </c>
      <c r="J63">
        <v>32</v>
      </c>
    </row>
    <row r="64" spans="1:10" x14ac:dyDescent="0.4">
      <c r="A64" s="2">
        <v>35500</v>
      </c>
      <c r="B64">
        <v>25</v>
      </c>
      <c r="D64">
        <v>4</v>
      </c>
      <c r="E64">
        <v>6</v>
      </c>
      <c r="F64">
        <v>9</v>
      </c>
      <c r="G64">
        <v>12</v>
      </c>
      <c r="H64">
        <v>17</v>
      </c>
      <c r="I64">
        <v>25</v>
      </c>
      <c r="J64">
        <v>31</v>
      </c>
    </row>
    <row r="65" spans="1:10" x14ac:dyDescent="0.4">
      <c r="A65" s="2">
        <v>36000</v>
      </c>
      <c r="B65">
        <v>25</v>
      </c>
      <c r="D65">
        <v>4</v>
      </c>
      <c r="E65">
        <v>6</v>
      </c>
      <c r="F65">
        <v>9</v>
      </c>
      <c r="G65">
        <v>12</v>
      </c>
      <c r="H65">
        <v>17</v>
      </c>
      <c r="I65">
        <v>25</v>
      </c>
      <c r="J65">
        <v>31</v>
      </c>
    </row>
    <row r="66" spans="1:10" x14ac:dyDescent="0.4">
      <c r="A66" s="2">
        <v>36500</v>
      </c>
      <c r="B66">
        <v>25</v>
      </c>
      <c r="D66">
        <v>4</v>
      </c>
      <c r="E66">
        <v>6</v>
      </c>
      <c r="F66">
        <v>9</v>
      </c>
      <c r="G66">
        <v>12</v>
      </c>
      <c r="H66">
        <v>16</v>
      </c>
      <c r="I66">
        <v>25</v>
      </c>
      <c r="J66">
        <v>31</v>
      </c>
    </row>
    <row r="67" spans="1:10" x14ac:dyDescent="0.4">
      <c r="A67" s="2">
        <v>37000</v>
      </c>
      <c r="B67">
        <v>24</v>
      </c>
      <c r="D67">
        <v>4</v>
      </c>
      <c r="E67">
        <v>6</v>
      </c>
      <c r="F67">
        <v>9</v>
      </c>
      <c r="G67">
        <v>12</v>
      </c>
      <c r="H67">
        <v>16</v>
      </c>
      <c r="I67">
        <v>24</v>
      </c>
      <c r="J67">
        <v>30</v>
      </c>
    </row>
    <row r="68" spans="1:10" x14ac:dyDescent="0.4">
      <c r="A68" s="2">
        <v>37500</v>
      </c>
      <c r="B68">
        <v>24</v>
      </c>
      <c r="D68">
        <v>4</v>
      </c>
      <c r="E68">
        <v>5</v>
      </c>
      <c r="F68">
        <v>9</v>
      </c>
      <c r="G68">
        <v>11</v>
      </c>
      <c r="H68">
        <v>16</v>
      </c>
      <c r="I68">
        <v>24</v>
      </c>
      <c r="J68">
        <v>30</v>
      </c>
    </row>
    <row r="69" spans="1:10" x14ac:dyDescent="0.4">
      <c r="A69" s="2">
        <v>38000</v>
      </c>
      <c r="B69">
        <v>24</v>
      </c>
      <c r="D69">
        <v>4</v>
      </c>
      <c r="E69">
        <v>5</v>
      </c>
      <c r="F69">
        <v>8</v>
      </c>
      <c r="G69">
        <v>11</v>
      </c>
      <c r="H69">
        <v>16</v>
      </c>
      <c r="I69">
        <v>24</v>
      </c>
      <c r="J69">
        <v>30</v>
      </c>
    </row>
    <row r="70" spans="1:10" x14ac:dyDescent="0.4">
      <c r="A70" s="2">
        <v>38500</v>
      </c>
      <c r="B70">
        <v>24</v>
      </c>
      <c r="D70">
        <v>3</v>
      </c>
      <c r="E70">
        <v>5</v>
      </c>
      <c r="F70">
        <v>8</v>
      </c>
      <c r="G70">
        <v>11</v>
      </c>
      <c r="H70">
        <v>15</v>
      </c>
      <c r="I70">
        <v>24</v>
      </c>
      <c r="J70">
        <v>29</v>
      </c>
    </row>
    <row r="71" spans="1:10" x14ac:dyDescent="0.4">
      <c r="A71" s="2">
        <v>39000</v>
      </c>
      <c r="B71">
        <v>23</v>
      </c>
      <c r="D71">
        <v>3</v>
      </c>
      <c r="E71">
        <v>5</v>
      </c>
      <c r="F71">
        <v>8</v>
      </c>
      <c r="G71">
        <v>11</v>
      </c>
      <c r="H71">
        <v>15</v>
      </c>
      <c r="I71">
        <v>23</v>
      </c>
      <c r="J71">
        <v>29</v>
      </c>
    </row>
    <row r="72" spans="1:10" x14ac:dyDescent="0.4">
      <c r="A72" s="2">
        <v>39500</v>
      </c>
      <c r="B72">
        <v>23</v>
      </c>
      <c r="D72">
        <v>3</v>
      </c>
      <c r="E72">
        <v>5</v>
      </c>
      <c r="F72">
        <v>8</v>
      </c>
      <c r="G72">
        <v>11</v>
      </c>
      <c r="H72">
        <v>15</v>
      </c>
      <c r="I72">
        <v>23</v>
      </c>
      <c r="J72">
        <v>29</v>
      </c>
    </row>
    <row r="73" spans="1:10" x14ac:dyDescent="0.4">
      <c r="A73" s="2">
        <v>40000</v>
      </c>
      <c r="B73">
        <v>23</v>
      </c>
      <c r="D73">
        <v>3</v>
      </c>
      <c r="E73">
        <v>5</v>
      </c>
      <c r="F73">
        <v>8</v>
      </c>
      <c r="G73">
        <v>11</v>
      </c>
      <c r="H73">
        <v>15</v>
      </c>
      <c r="I73">
        <v>23</v>
      </c>
      <c r="J73">
        <v>28</v>
      </c>
    </row>
    <row r="74" spans="1:10" x14ac:dyDescent="0.4">
      <c r="A74" s="2">
        <v>40500</v>
      </c>
      <c r="B74">
        <v>22</v>
      </c>
      <c r="D74">
        <v>3</v>
      </c>
      <c r="E74">
        <v>5</v>
      </c>
      <c r="F74">
        <v>8</v>
      </c>
      <c r="G74">
        <v>10</v>
      </c>
      <c r="H74">
        <v>15</v>
      </c>
      <c r="I74">
        <v>22</v>
      </c>
      <c r="J74">
        <v>28</v>
      </c>
    </row>
    <row r="75" spans="1:10" x14ac:dyDescent="0.4">
      <c r="A75" s="2">
        <v>41000</v>
      </c>
      <c r="B75">
        <v>22</v>
      </c>
      <c r="D75">
        <v>3</v>
      </c>
      <c r="E75">
        <v>5</v>
      </c>
      <c r="F75">
        <v>8</v>
      </c>
      <c r="G75">
        <v>10</v>
      </c>
      <c r="H75">
        <v>14</v>
      </c>
      <c r="I75">
        <v>22</v>
      </c>
      <c r="J75">
        <v>28</v>
      </c>
    </row>
    <row r="76" spans="1:10" x14ac:dyDescent="0.4">
      <c r="A76" s="2">
        <v>41500</v>
      </c>
      <c r="B76">
        <v>22</v>
      </c>
      <c r="D76">
        <v>3</v>
      </c>
      <c r="E76">
        <v>5</v>
      </c>
      <c r="F76">
        <v>8</v>
      </c>
      <c r="G76">
        <v>10</v>
      </c>
      <c r="H76">
        <v>14</v>
      </c>
      <c r="I76">
        <v>22</v>
      </c>
      <c r="J76">
        <v>28</v>
      </c>
    </row>
    <row r="77" spans="1:10" x14ac:dyDescent="0.4">
      <c r="A77" s="2">
        <v>42000</v>
      </c>
      <c r="B77">
        <v>22</v>
      </c>
      <c r="D77">
        <v>3</v>
      </c>
      <c r="E77">
        <v>5</v>
      </c>
      <c r="F77">
        <v>8</v>
      </c>
      <c r="G77">
        <v>10</v>
      </c>
      <c r="H77">
        <v>14</v>
      </c>
      <c r="I77">
        <v>22</v>
      </c>
      <c r="J77">
        <v>27</v>
      </c>
    </row>
    <row r="78" spans="1:10" x14ac:dyDescent="0.4">
      <c r="A78" s="2">
        <v>42500</v>
      </c>
      <c r="B78">
        <v>22</v>
      </c>
      <c r="D78">
        <v>3</v>
      </c>
      <c r="E78">
        <v>5</v>
      </c>
      <c r="F78">
        <v>7</v>
      </c>
      <c r="G78">
        <v>10</v>
      </c>
      <c r="H78">
        <v>14</v>
      </c>
      <c r="I78">
        <v>22</v>
      </c>
      <c r="J78">
        <v>27</v>
      </c>
    </row>
    <row r="79" spans="1:10" x14ac:dyDescent="0.4">
      <c r="A79" s="2">
        <v>43000</v>
      </c>
      <c r="B79">
        <v>21</v>
      </c>
      <c r="D79">
        <v>3</v>
      </c>
      <c r="E79">
        <v>5</v>
      </c>
      <c r="F79">
        <v>7</v>
      </c>
      <c r="G79">
        <v>10</v>
      </c>
      <c r="H79">
        <v>14</v>
      </c>
      <c r="I79">
        <v>21</v>
      </c>
      <c r="J79">
        <v>27</v>
      </c>
    </row>
    <row r="80" spans="1:10" x14ac:dyDescent="0.4">
      <c r="A80" s="2">
        <v>43500</v>
      </c>
      <c r="B80">
        <v>21</v>
      </c>
      <c r="D80">
        <v>3</v>
      </c>
      <c r="E80">
        <v>5</v>
      </c>
      <c r="F80">
        <v>7</v>
      </c>
      <c r="G80">
        <v>10</v>
      </c>
      <c r="H80">
        <v>14</v>
      </c>
      <c r="I80">
        <v>21</v>
      </c>
      <c r="J80">
        <v>27</v>
      </c>
    </row>
    <row r="81" spans="1:10" x14ac:dyDescent="0.4">
      <c r="A81" s="2">
        <v>44000</v>
      </c>
      <c r="B81">
        <v>21</v>
      </c>
      <c r="D81">
        <v>3</v>
      </c>
      <c r="E81">
        <v>5</v>
      </c>
      <c r="F81">
        <v>7</v>
      </c>
      <c r="G81">
        <v>9</v>
      </c>
      <c r="H81">
        <v>13</v>
      </c>
      <c r="I81">
        <v>21</v>
      </c>
      <c r="J81">
        <v>26</v>
      </c>
    </row>
    <row r="82" spans="1:10" x14ac:dyDescent="0.4">
      <c r="A82" s="2">
        <v>44500</v>
      </c>
      <c r="B82">
        <v>21</v>
      </c>
      <c r="D82">
        <v>3</v>
      </c>
      <c r="E82">
        <v>4</v>
      </c>
      <c r="F82">
        <v>7</v>
      </c>
      <c r="G82">
        <v>9</v>
      </c>
      <c r="H82">
        <v>13</v>
      </c>
      <c r="I82">
        <v>21</v>
      </c>
      <c r="J82">
        <v>26</v>
      </c>
    </row>
    <row r="83" spans="1:10" x14ac:dyDescent="0.4">
      <c r="A83" s="2">
        <v>45000</v>
      </c>
      <c r="B83">
        <v>20</v>
      </c>
      <c r="D83">
        <v>3</v>
      </c>
      <c r="E83">
        <v>4</v>
      </c>
      <c r="F83">
        <v>7</v>
      </c>
      <c r="G83">
        <v>9</v>
      </c>
      <c r="H83">
        <v>13</v>
      </c>
      <c r="I83">
        <v>20</v>
      </c>
      <c r="J83">
        <v>26</v>
      </c>
    </row>
    <row r="84" spans="1:10" x14ac:dyDescent="0.4">
      <c r="A84" s="2">
        <v>45500</v>
      </c>
      <c r="B84">
        <v>20</v>
      </c>
      <c r="D84">
        <v>3</v>
      </c>
      <c r="E84">
        <v>4</v>
      </c>
      <c r="F84">
        <v>7</v>
      </c>
      <c r="G84">
        <v>9</v>
      </c>
      <c r="H84">
        <v>13</v>
      </c>
      <c r="I84">
        <v>20</v>
      </c>
      <c r="J84">
        <v>26</v>
      </c>
    </row>
    <row r="85" spans="1:10" x14ac:dyDescent="0.4">
      <c r="A85" s="2">
        <v>46000</v>
      </c>
      <c r="B85">
        <v>20</v>
      </c>
      <c r="D85">
        <v>3</v>
      </c>
      <c r="E85">
        <v>4</v>
      </c>
      <c r="F85">
        <v>7</v>
      </c>
      <c r="G85">
        <v>9</v>
      </c>
      <c r="H85">
        <v>13</v>
      </c>
      <c r="I85">
        <v>20</v>
      </c>
      <c r="J85">
        <v>25</v>
      </c>
    </row>
    <row r="86" spans="1:10" x14ac:dyDescent="0.4">
      <c r="A86" s="2">
        <v>46500</v>
      </c>
      <c r="B86">
        <v>20</v>
      </c>
      <c r="D86">
        <v>3</v>
      </c>
      <c r="E86">
        <v>4</v>
      </c>
      <c r="F86">
        <v>7</v>
      </c>
      <c r="G86">
        <v>9</v>
      </c>
      <c r="H86">
        <v>13</v>
      </c>
      <c r="I86">
        <v>20</v>
      </c>
      <c r="J86">
        <v>25</v>
      </c>
    </row>
    <row r="87" spans="1:10" x14ac:dyDescent="0.4">
      <c r="A87" s="2">
        <v>47000</v>
      </c>
      <c r="B87">
        <v>20</v>
      </c>
      <c r="D87">
        <v>3</v>
      </c>
      <c r="E87">
        <v>4</v>
      </c>
      <c r="F87">
        <v>7</v>
      </c>
      <c r="G87">
        <v>9</v>
      </c>
      <c r="H87">
        <v>13</v>
      </c>
      <c r="I87">
        <v>20</v>
      </c>
      <c r="J87">
        <v>25</v>
      </c>
    </row>
    <row r="88" spans="1:10" x14ac:dyDescent="0.4">
      <c r="A88" s="2">
        <v>47500</v>
      </c>
      <c r="B88">
        <v>19</v>
      </c>
      <c r="D88">
        <v>3</v>
      </c>
      <c r="E88">
        <v>4</v>
      </c>
      <c r="F88">
        <v>7</v>
      </c>
      <c r="G88">
        <v>9</v>
      </c>
      <c r="H88">
        <v>12</v>
      </c>
      <c r="I88">
        <v>19</v>
      </c>
      <c r="J88">
        <v>25</v>
      </c>
    </row>
    <row r="89" spans="1:10" x14ac:dyDescent="0.4">
      <c r="A89" s="2">
        <v>48000</v>
      </c>
      <c r="B89">
        <v>19</v>
      </c>
      <c r="D89">
        <v>3</v>
      </c>
      <c r="E89">
        <v>4</v>
      </c>
      <c r="F89">
        <v>6</v>
      </c>
      <c r="G89">
        <v>9</v>
      </c>
      <c r="H89">
        <v>12</v>
      </c>
      <c r="I89">
        <v>19</v>
      </c>
      <c r="J89">
        <v>25</v>
      </c>
    </row>
    <row r="90" spans="1:10" x14ac:dyDescent="0.4">
      <c r="A90" s="2">
        <v>48500</v>
      </c>
      <c r="B90">
        <v>19</v>
      </c>
      <c r="D90">
        <v>3</v>
      </c>
      <c r="E90">
        <v>4</v>
      </c>
      <c r="F90">
        <v>6</v>
      </c>
      <c r="G90">
        <v>8</v>
      </c>
      <c r="H90">
        <v>12</v>
      </c>
      <c r="I90">
        <v>19</v>
      </c>
      <c r="J90">
        <v>24</v>
      </c>
    </row>
    <row r="91" spans="1:10" x14ac:dyDescent="0.4">
      <c r="A91" s="2">
        <v>49000</v>
      </c>
      <c r="B91">
        <v>19</v>
      </c>
      <c r="D91">
        <v>3</v>
      </c>
      <c r="E91">
        <v>4</v>
      </c>
      <c r="F91">
        <v>6</v>
      </c>
      <c r="G91">
        <v>8</v>
      </c>
      <c r="H91">
        <v>12</v>
      </c>
      <c r="I91">
        <v>19</v>
      </c>
      <c r="J91">
        <v>24</v>
      </c>
    </row>
    <row r="92" spans="1:10" x14ac:dyDescent="0.4">
      <c r="A92" s="2">
        <v>49500</v>
      </c>
      <c r="B92">
        <v>19</v>
      </c>
      <c r="D92">
        <v>3</v>
      </c>
      <c r="E92">
        <v>4</v>
      </c>
      <c r="F92">
        <v>6</v>
      </c>
      <c r="G92">
        <v>8</v>
      </c>
      <c r="H92">
        <v>12</v>
      </c>
      <c r="I92">
        <v>19</v>
      </c>
      <c r="J92">
        <v>24</v>
      </c>
    </row>
    <row r="93" spans="1:10" x14ac:dyDescent="0.4">
      <c r="A93" s="2">
        <v>50000</v>
      </c>
      <c r="B93">
        <v>19</v>
      </c>
      <c r="D93">
        <v>3</v>
      </c>
      <c r="E93">
        <v>4</v>
      </c>
      <c r="F93">
        <v>6</v>
      </c>
      <c r="G93">
        <v>8</v>
      </c>
      <c r="H93">
        <v>12</v>
      </c>
      <c r="I93">
        <v>19</v>
      </c>
      <c r="J93">
        <v>24</v>
      </c>
    </row>
    <row r="94" spans="1:10" x14ac:dyDescent="0.4">
      <c r="A94" s="2">
        <v>50500</v>
      </c>
      <c r="B94">
        <v>18</v>
      </c>
      <c r="D94">
        <v>3</v>
      </c>
      <c r="E94">
        <v>4</v>
      </c>
      <c r="F94">
        <v>6</v>
      </c>
      <c r="G94">
        <v>8</v>
      </c>
      <c r="H94">
        <v>12</v>
      </c>
      <c r="I94">
        <v>18</v>
      </c>
      <c r="J94">
        <v>24</v>
      </c>
    </row>
    <row r="95" spans="1:10" x14ac:dyDescent="0.4">
      <c r="A95" s="2">
        <v>51000</v>
      </c>
      <c r="B95">
        <v>18</v>
      </c>
      <c r="D95">
        <v>3</v>
      </c>
      <c r="E95">
        <v>4</v>
      </c>
      <c r="F95">
        <v>6</v>
      </c>
      <c r="G95">
        <v>8</v>
      </c>
      <c r="H95">
        <v>11</v>
      </c>
      <c r="I95">
        <v>18</v>
      </c>
      <c r="J95">
        <v>23</v>
      </c>
    </row>
    <row r="96" spans="1:10" x14ac:dyDescent="0.4">
      <c r="A96" s="2">
        <v>51500</v>
      </c>
      <c r="B96">
        <v>18</v>
      </c>
      <c r="D96">
        <v>3</v>
      </c>
      <c r="E96">
        <v>4</v>
      </c>
      <c r="F96">
        <v>6</v>
      </c>
      <c r="G96">
        <v>8</v>
      </c>
      <c r="H96">
        <v>11</v>
      </c>
      <c r="I96">
        <v>18</v>
      </c>
      <c r="J96">
        <v>23</v>
      </c>
    </row>
    <row r="97" spans="1:10" x14ac:dyDescent="0.4">
      <c r="A97" s="2">
        <v>52000</v>
      </c>
      <c r="B97">
        <v>18</v>
      </c>
      <c r="D97">
        <v>3</v>
      </c>
      <c r="E97">
        <v>4</v>
      </c>
      <c r="F97">
        <v>6</v>
      </c>
      <c r="G97">
        <v>8</v>
      </c>
      <c r="H97">
        <v>11</v>
      </c>
      <c r="I97">
        <v>18</v>
      </c>
      <c r="J97">
        <v>23</v>
      </c>
    </row>
    <row r="98" spans="1:10" x14ac:dyDescent="0.4">
      <c r="A98" s="2">
        <v>52500</v>
      </c>
      <c r="B98">
        <v>18</v>
      </c>
      <c r="D98">
        <v>3</v>
      </c>
      <c r="E98">
        <v>4</v>
      </c>
      <c r="F98">
        <v>6</v>
      </c>
      <c r="G98">
        <v>8</v>
      </c>
      <c r="H98">
        <v>11</v>
      </c>
      <c r="I98">
        <v>18</v>
      </c>
      <c r="J98">
        <v>23</v>
      </c>
    </row>
    <row r="99" spans="1:10" x14ac:dyDescent="0.4">
      <c r="A99" s="2">
        <v>53000</v>
      </c>
      <c r="B99">
        <v>18</v>
      </c>
      <c r="D99">
        <v>3</v>
      </c>
      <c r="E99">
        <v>4</v>
      </c>
      <c r="F99">
        <v>6</v>
      </c>
      <c r="G99">
        <v>8</v>
      </c>
      <c r="H99">
        <v>11</v>
      </c>
      <c r="I99">
        <v>18</v>
      </c>
      <c r="J99">
        <v>23</v>
      </c>
    </row>
    <row r="100" spans="1:10" x14ac:dyDescent="0.4">
      <c r="A100" s="2">
        <v>53500</v>
      </c>
      <c r="B100">
        <v>17</v>
      </c>
      <c r="D100">
        <v>3</v>
      </c>
      <c r="E100">
        <v>4</v>
      </c>
      <c r="F100">
        <v>6</v>
      </c>
      <c r="G100">
        <v>8</v>
      </c>
      <c r="H100">
        <v>11</v>
      </c>
      <c r="I100">
        <v>17</v>
      </c>
      <c r="J100">
        <v>22</v>
      </c>
    </row>
    <row r="101" spans="1:10" x14ac:dyDescent="0.4">
      <c r="A101" s="2">
        <v>54000</v>
      </c>
      <c r="B101">
        <v>17</v>
      </c>
      <c r="D101">
        <v>3</v>
      </c>
      <c r="E101">
        <v>4</v>
      </c>
      <c r="F101">
        <v>6</v>
      </c>
      <c r="G101">
        <v>8</v>
      </c>
      <c r="H101">
        <v>11</v>
      </c>
      <c r="I101">
        <v>17</v>
      </c>
      <c r="J101">
        <v>22</v>
      </c>
    </row>
    <row r="102" spans="1:10" x14ac:dyDescent="0.4">
      <c r="A102" s="2">
        <v>54500</v>
      </c>
      <c r="B102">
        <v>17</v>
      </c>
      <c r="D102">
        <v>3</v>
      </c>
      <c r="E102">
        <v>4</v>
      </c>
      <c r="F102">
        <v>6</v>
      </c>
      <c r="G102">
        <v>8</v>
      </c>
      <c r="H102">
        <v>11</v>
      </c>
      <c r="I102">
        <v>17</v>
      </c>
      <c r="J102">
        <v>22</v>
      </c>
    </row>
    <row r="103" spans="1:10" x14ac:dyDescent="0.4">
      <c r="A103" s="2">
        <v>55000</v>
      </c>
      <c r="B103">
        <v>17</v>
      </c>
      <c r="D103">
        <v>3</v>
      </c>
      <c r="E103">
        <v>4</v>
      </c>
      <c r="F103">
        <v>6</v>
      </c>
      <c r="G103">
        <v>7</v>
      </c>
      <c r="H103">
        <v>11</v>
      </c>
      <c r="I103">
        <v>17</v>
      </c>
      <c r="J103">
        <v>22</v>
      </c>
    </row>
    <row r="104" spans="1:10" x14ac:dyDescent="0.4">
      <c r="A104" s="2">
        <v>55500</v>
      </c>
      <c r="B104">
        <v>17</v>
      </c>
      <c r="D104">
        <v>3</v>
      </c>
      <c r="E104">
        <v>4</v>
      </c>
      <c r="F104">
        <v>6</v>
      </c>
      <c r="G104">
        <v>7</v>
      </c>
      <c r="H104">
        <v>11</v>
      </c>
      <c r="I104">
        <v>17</v>
      </c>
      <c r="J104">
        <v>22</v>
      </c>
    </row>
    <row r="105" spans="1:10" x14ac:dyDescent="0.4">
      <c r="A105" s="2">
        <v>56000</v>
      </c>
      <c r="B105">
        <v>17</v>
      </c>
      <c r="D105">
        <v>3</v>
      </c>
      <c r="E105">
        <v>4</v>
      </c>
      <c r="F105">
        <v>6</v>
      </c>
      <c r="G105">
        <v>7</v>
      </c>
      <c r="H105">
        <v>10</v>
      </c>
      <c r="I105">
        <v>17</v>
      </c>
      <c r="J105">
        <v>22</v>
      </c>
    </row>
    <row r="106" spans="1:10" x14ac:dyDescent="0.4">
      <c r="A106" s="2">
        <v>56500</v>
      </c>
      <c r="B106">
        <v>17</v>
      </c>
      <c r="D106">
        <v>3</v>
      </c>
      <c r="E106">
        <v>4</v>
      </c>
      <c r="F106">
        <v>6</v>
      </c>
      <c r="G106">
        <v>7</v>
      </c>
      <c r="H106">
        <v>10</v>
      </c>
      <c r="I106">
        <v>17</v>
      </c>
      <c r="J106">
        <v>21</v>
      </c>
    </row>
    <row r="107" spans="1:10" x14ac:dyDescent="0.4">
      <c r="A107" s="2">
        <v>57000</v>
      </c>
      <c r="B107">
        <v>16</v>
      </c>
      <c r="D107">
        <v>3</v>
      </c>
      <c r="E107">
        <v>4</v>
      </c>
      <c r="F107">
        <v>5</v>
      </c>
      <c r="G107">
        <v>7</v>
      </c>
      <c r="H107">
        <v>10</v>
      </c>
      <c r="I107">
        <v>16</v>
      </c>
      <c r="J107">
        <v>21</v>
      </c>
    </row>
    <row r="108" spans="1:10" x14ac:dyDescent="0.4">
      <c r="A108" s="2">
        <v>57500</v>
      </c>
      <c r="B108">
        <v>16</v>
      </c>
      <c r="D108">
        <v>3</v>
      </c>
      <c r="E108">
        <v>4</v>
      </c>
      <c r="F108">
        <v>5</v>
      </c>
      <c r="G108">
        <v>7</v>
      </c>
      <c r="H108">
        <v>10</v>
      </c>
      <c r="I108">
        <v>16</v>
      </c>
      <c r="J108">
        <v>21</v>
      </c>
    </row>
    <row r="109" spans="1:10" x14ac:dyDescent="0.4">
      <c r="A109" s="2">
        <v>58000</v>
      </c>
      <c r="B109">
        <v>16</v>
      </c>
      <c r="D109">
        <v>3</v>
      </c>
      <c r="E109">
        <v>4</v>
      </c>
      <c r="F109">
        <v>5</v>
      </c>
      <c r="G109">
        <v>7</v>
      </c>
      <c r="H109">
        <v>10</v>
      </c>
      <c r="I109">
        <v>16</v>
      </c>
      <c r="J109">
        <v>21</v>
      </c>
    </row>
    <row r="110" spans="1:10" x14ac:dyDescent="0.4">
      <c r="A110" s="2">
        <v>58500</v>
      </c>
      <c r="B110">
        <v>16</v>
      </c>
      <c r="D110">
        <v>3</v>
      </c>
      <c r="E110">
        <v>3</v>
      </c>
      <c r="F110">
        <v>5</v>
      </c>
      <c r="G110">
        <v>7</v>
      </c>
      <c r="H110">
        <v>10</v>
      </c>
      <c r="I110">
        <v>16</v>
      </c>
      <c r="J110">
        <v>21</v>
      </c>
    </row>
    <row r="111" spans="1:10" x14ac:dyDescent="0.4">
      <c r="A111" s="2">
        <v>59000</v>
      </c>
      <c r="B111">
        <v>16</v>
      </c>
      <c r="D111">
        <v>3</v>
      </c>
      <c r="E111">
        <v>3</v>
      </c>
      <c r="F111">
        <v>5</v>
      </c>
      <c r="G111">
        <v>7</v>
      </c>
      <c r="H111">
        <v>10</v>
      </c>
      <c r="I111">
        <v>16</v>
      </c>
      <c r="J111">
        <v>21</v>
      </c>
    </row>
    <row r="112" spans="1:10" x14ac:dyDescent="0.4">
      <c r="A112" s="2">
        <v>59500</v>
      </c>
      <c r="B112">
        <v>16</v>
      </c>
      <c r="D112">
        <v>2</v>
      </c>
      <c r="E112">
        <v>3</v>
      </c>
      <c r="F112">
        <v>5</v>
      </c>
      <c r="G112">
        <v>7</v>
      </c>
      <c r="H112">
        <v>10</v>
      </c>
      <c r="I112">
        <v>16</v>
      </c>
      <c r="J112">
        <v>21</v>
      </c>
    </row>
    <row r="113" spans="1:10" x14ac:dyDescent="0.4">
      <c r="A113" s="2">
        <v>60000</v>
      </c>
      <c r="B113">
        <v>16</v>
      </c>
      <c r="D113">
        <v>2</v>
      </c>
      <c r="E113">
        <v>3</v>
      </c>
      <c r="F113">
        <v>5</v>
      </c>
      <c r="G113">
        <v>7</v>
      </c>
      <c r="H113">
        <v>10</v>
      </c>
      <c r="I113">
        <v>16</v>
      </c>
      <c r="J113">
        <v>20</v>
      </c>
    </row>
    <row r="114" spans="1:10" x14ac:dyDescent="0.4">
      <c r="A114" s="2">
        <v>60500</v>
      </c>
      <c r="B114">
        <v>16</v>
      </c>
      <c r="D114">
        <v>2</v>
      </c>
      <c r="E114">
        <v>3</v>
      </c>
      <c r="F114">
        <v>5</v>
      </c>
      <c r="G114">
        <v>7</v>
      </c>
      <c r="H114">
        <v>10</v>
      </c>
      <c r="I114">
        <v>16</v>
      </c>
      <c r="J114">
        <v>20</v>
      </c>
    </row>
    <row r="115" spans="1:10" x14ac:dyDescent="0.4">
      <c r="A115" s="2">
        <v>61000</v>
      </c>
      <c r="B115">
        <v>16</v>
      </c>
      <c r="D115">
        <v>2</v>
      </c>
      <c r="E115">
        <v>3</v>
      </c>
      <c r="F115">
        <v>5</v>
      </c>
      <c r="G115">
        <v>7</v>
      </c>
      <c r="H115">
        <v>10</v>
      </c>
      <c r="I115">
        <v>16</v>
      </c>
      <c r="J115">
        <v>20</v>
      </c>
    </row>
    <row r="116" spans="1:10" x14ac:dyDescent="0.4">
      <c r="A116" s="2">
        <v>61500</v>
      </c>
      <c r="B116">
        <v>15</v>
      </c>
      <c r="D116">
        <v>2</v>
      </c>
      <c r="E116">
        <v>3</v>
      </c>
      <c r="F116">
        <v>5</v>
      </c>
      <c r="G116">
        <v>7</v>
      </c>
      <c r="H116">
        <v>10</v>
      </c>
      <c r="I116">
        <v>15</v>
      </c>
      <c r="J116">
        <v>20</v>
      </c>
    </row>
    <row r="117" spans="1:10" x14ac:dyDescent="0.4">
      <c r="A117" s="2">
        <v>62000</v>
      </c>
      <c r="B117">
        <v>15</v>
      </c>
      <c r="D117">
        <v>2</v>
      </c>
      <c r="E117">
        <v>3</v>
      </c>
      <c r="F117">
        <v>5</v>
      </c>
      <c r="G117">
        <v>7</v>
      </c>
      <c r="H117">
        <v>9</v>
      </c>
      <c r="I117">
        <v>15</v>
      </c>
      <c r="J117">
        <v>20</v>
      </c>
    </row>
    <row r="118" spans="1:10" x14ac:dyDescent="0.4">
      <c r="A118" s="2">
        <v>62500</v>
      </c>
      <c r="B118">
        <v>15</v>
      </c>
      <c r="D118">
        <v>2</v>
      </c>
      <c r="E118">
        <v>3</v>
      </c>
      <c r="F118">
        <v>5</v>
      </c>
      <c r="G118">
        <v>7</v>
      </c>
      <c r="H118">
        <v>9</v>
      </c>
      <c r="I118">
        <v>15</v>
      </c>
      <c r="J118">
        <v>20</v>
      </c>
    </row>
    <row r="119" spans="1:10" x14ac:dyDescent="0.4">
      <c r="A119" s="2">
        <v>63000</v>
      </c>
      <c r="B119">
        <v>15</v>
      </c>
      <c r="D119">
        <v>2</v>
      </c>
      <c r="E119">
        <v>3</v>
      </c>
      <c r="F119">
        <v>5</v>
      </c>
      <c r="G119">
        <v>7</v>
      </c>
      <c r="H119">
        <v>9</v>
      </c>
      <c r="I119">
        <v>15</v>
      </c>
      <c r="J119">
        <v>20</v>
      </c>
    </row>
    <row r="120" spans="1:10" x14ac:dyDescent="0.4">
      <c r="A120" s="2">
        <v>63500</v>
      </c>
      <c r="B120">
        <v>15</v>
      </c>
      <c r="D120">
        <v>2</v>
      </c>
      <c r="E120">
        <v>3</v>
      </c>
      <c r="F120">
        <v>5</v>
      </c>
      <c r="G120">
        <v>6</v>
      </c>
      <c r="H120">
        <v>9</v>
      </c>
      <c r="I120">
        <v>15</v>
      </c>
      <c r="J120">
        <v>20</v>
      </c>
    </row>
    <row r="121" spans="1:10" x14ac:dyDescent="0.4">
      <c r="A121" s="2">
        <v>64000</v>
      </c>
      <c r="B121">
        <v>15</v>
      </c>
      <c r="D121">
        <v>2</v>
      </c>
      <c r="E121">
        <v>3</v>
      </c>
      <c r="F121">
        <v>5</v>
      </c>
      <c r="G121">
        <v>6</v>
      </c>
      <c r="H121">
        <v>9</v>
      </c>
      <c r="I121">
        <v>15</v>
      </c>
      <c r="J121">
        <v>19</v>
      </c>
    </row>
    <row r="122" spans="1:10" x14ac:dyDescent="0.4">
      <c r="A122" s="2">
        <v>64500</v>
      </c>
      <c r="B122">
        <v>15</v>
      </c>
      <c r="D122">
        <v>2</v>
      </c>
      <c r="E122">
        <v>3</v>
      </c>
      <c r="F122">
        <v>5</v>
      </c>
      <c r="G122">
        <v>6</v>
      </c>
      <c r="H122">
        <v>9</v>
      </c>
      <c r="I122">
        <v>15</v>
      </c>
      <c r="J122">
        <v>19</v>
      </c>
    </row>
    <row r="123" spans="1:10" x14ac:dyDescent="0.4">
      <c r="A123" s="2">
        <v>65000</v>
      </c>
      <c r="B123">
        <v>15</v>
      </c>
      <c r="D123">
        <v>2</v>
      </c>
      <c r="E123">
        <v>3</v>
      </c>
      <c r="F123">
        <v>5</v>
      </c>
      <c r="G123">
        <v>6</v>
      </c>
      <c r="H123">
        <v>9</v>
      </c>
      <c r="I123">
        <v>15</v>
      </c>
      <c r="J123">
        <v>19</v>
      </c>
    </row>
    <row r="124" spans="1:10" x14ac:dyDescent="0.4">
      <c r="A124" s="2">
        <v>65500</v>
      </c>
      <c r="B124">
        <v>15</v>
      </c>
      <c r="D124">
        <v>2</v>
      </c>
      <c r="E124">
        <v>3</v>
      </c>
      <c r="F124">
        <v>5</v>
      </c>
      <c r="G124">
        <v>6</v>
      </c>
      <c r="H124">
        <v>9</v>
      </c>
      <c r="I124">
        <v>15</v>
      </c>
      <c r="J124">
        <v>19</v>
      </c>
    </row>
    <row r="125" spans="1:10" x14ac:dyDescent="0.4">
      <c r="A125" s="2">
        <v>66000</v>
      </c>
      <c r="B125">
        <v>14</v>
      </c>
      <c r="D125">
        <v>2</v>
      </c>
      <c r="E125">
        <v>3</v>
      </c>
      <c r="F125">
        <v>5</v>
      </c>
      <c r="G125">
        <v>6</v>
      </c>
      <c r="H125">
        <v>9</v>
      </c>
      <c r="I125">
        <v>14</v>
      </c>
      <c r="J125">
        <v>19</v>
      </c>
    </row>
    <row r="126" spans="1:10" x14ac:dyDescent="0.4">
      <c r="A126" s="2">
        <v>66500</v>
      </c>
      <c r="B126">
        <v>14</v>
      </c>
      <c r="D126">
        <v>2</v>
      </c>
      <c r="E126">
        <v>3</v>
      </c>
      <c r="F126">
        <v>5</v>
      </c>
      <c r="G126">
        <v>6</v>
      </c>
      <c r="H126">
        <v>9</v>
      </c>
      <c r="I126">
        <v>14</v>
      </c>
      <c r="J126">
        <v>19</v>
      </c>
    </row>
    <row r="127" spans="1:10" x14ac:dyDescent="0.4">
      <c r="A127" s="2">
        <v>67000</v>
      </c>
      <c r="B127">
        <v>14</v>
      </c>
      <c r="D127">
        <v>2</v>
      </c>
      <c r="E127">
        <v>3</v>
      </c>
      <c r="F127">
        <v>5</v>
      </c>
      <c r="G127">
        <v>6</v>
      </c>
      <c r="H127">
        <v>9</v>
      </c>
      <c r="I127">
        <v>14</v>
      </c>
      <c r="J127">
        <v>19</v>
      </c>
    </row>
    <row r="128" spans="1:10" x14ac:dyDescent="0.4">
      <c r="A128" s="2">
        <v>67500</v>
      </c>
      <c r="B128">
        <v>14</v>
      </c>
      <c r="D128">
        <v>2</v>
      </c>
      <c r="E128">
        <v>3</v>
      </c>
      <c r="F128">
        <v>5</v>
      </c>
      <c r="G128">
        <v>6</v>
      </c>
      <c r="H128">
        <v>9</v>
      </c>
      <c r="I128">
        <v>14</v>
      </c>
      <c r="J128">
        <v>19</v>
      </c>
    </row>
    <row r="129" spans="1:10" x14ac:dyDescent="0.4">
      <c r="A129" s="2">
        <v>68000</v>
      </c>
      <c r="B129">
        <v>14</v>
      </c>
      <c r="D129">
        <v>2</v>
      </c>
      <c r="E129">
        <v>3</v>
      </c>
      <c r="F129">
        <v>5</v>
      </c>
      <c r="G129">
        <v>6</v>
      </c>
      <c r="H129">
        <v>9</v>
      </c>
      <c r="I129">
        <v>14</v>
      </c>
      <c r="J129">
        <v>18</v>
      </c>
    </row>
    <row r="130" spans="1:10" x14ac:dyDescent="0.4">
      <c r="A130" s="2">
        <v>68500</v>
      </c>
      <c r="B130">
        <v>14</v>
      </c>
      <c r="D130">
        <v>2</v>
      </c>
      <c r="E130">
        <v>3</v>
      </c>
      <c r="F130">
        <v>5</v>
      </c>
      <c r="G130">
        <v>6</v>
      </c>
      <c r="H130">
        <v>9</v>
      </c>
      <c r="I130">
        <v>14</v>
      </c>
      <c r="J130">
        <v>18</v>
      </c>
    </row>
    <row r="131" spans="1:10" x14ac:dyDescent="0.4">
      <c r="A131" s="2">
        <v>69000</v>
      </c>
      <c r="B131">
        <v>14</v>
      </c>
      <c r="D131">
        <v>2</v>
      </c>
      <c r="E131">
        <v>3</v>
      </c>
      <c r="F131">
        <v>5</v>
      </c>
      <c r="G131">
        <v>6</v>
      </c>
      <c r="H131">
        <v>9</v>
      </c>
      <c r="I131">
        <v>14</v>
      </c>
      <c r="J131">
        <v>18</v>
      </c>
    </row>
    <row r="132" spans="1:10" x14ac:dyDescent="0.4">
      <c r="A132" s="2">
        <v>69500</v>
      </c>
      <c r="B132">
        <v>14</v>
      </c>
      <c r="D132">
        <v>2</v>
      </c>
      <c r="E132">
        <v>3</v>
      </c>
      <c r="F132">
        <v>5</v>
      </c>
      <c r="G132">
        <v>6</v>
      </c>
      <c r="H132">
        <v>8</v>
      </c>
      <c r="I132">
        <v>14</v>
      </c>
      <c r="J132">
        <v>18</v>
      </c>
    </row>
    <row r="133" spans="1:10" x14ac:dyDescent="0.4">
      <c r="A133" s="2">
        <v>70000</v>
      </c>
      <c r="B133">
        <v>14</v>
      </c>
      <c r="D133">
        <v>2</v>
      </c>
      <c r="E133">
        <v>3</v>
      </c>
      <c r="F133">
        <v>5</v>
      </c>
      <c r="G133">
        <v>6</v>
      </c>
      <c r="H133">
        <v>8</v>
      </c>
      <c r="I133">
        <v>14</v>
      </c>
      <c r="J133">
        <v>18</v>
      </c>
    </row>
    <row r="134" spans="1:10" x14ac:dyDescent="0.4">
      <c r="A134" s="2">
        <v>70500</v>
      </c>
      <c r="B134">
        <v>14</v>
      </c>
      <c r="D134">
        <v>2</v>
      </c>
      <c r="E134">
        <v>3</v>
      </c>
      <c r="F134">
        <v>5</v>
      </c>
      <c r="G134">
        <v>6</v>
      </c>
      <c r="H134">
        <v>8</v>
      </c>
      <c r="I134">
        <v>14</v>
      </c>
      <c r="J134">
        <v>18</v>
      </c>
    </row>
    <row r="135" spans="1:10" x14ac:dyDescent="0.4">
      <c r="A135" s="2">
        <v>71000</v>
      </c>
      <c r="B135">
        <v>14</v>
      </c>
      <c r="D135">
        <v>2</v>
      </c>
      <c r="E135">
        <v>3</v>
      </c>
      <c r="F135">
        <v>4</v>
      </c>
      <c r="G135">
        <v>6</v>
      </c>
      <c r="H135">
        <v>8</v>
      </c>
      <c r="I135">
        <v>14</v>
      </c>
      <c r="J135">
        <v>18</v>
      </c>
    </row>
    <row r="136" spans="1:10" x14ac:dyDescent="0.4">
      <c r="A136" s="2">
        <v>71500</v>
      </c>
      <c r="B136">
        <v>13</v>
      </c>
      <c r="D136">
        <v>2</v>
      </c>
      <c r="E136">
        <v>3</v>
      </c>
      <c r="F136">
        <v>4</v>
      </c>
      <c r="G136">
        <v>6</v>
      </c>
      <c r="H136">
        <v>8</v>
      </c>
      <c r="I136">
        <v>13</v>
      </c>
      <c r="J136">
        <v>18</v>
      </c>
    </row>
    <row r="137" spans="1:10" x14ac:dyDescent="0.4">
      <c r="A137" s="2">
        <v>72000</v>
      </c>
      <c r="B137">
        <v>13</v>
      </c>
      <c r="D137">
        <v>2</v>
      </c>
      <c r="E137">
        <v>3</v>
      </c>
      <c r="F137">
        <v>4</v>
      </c>
      <c r="G137">
        <v>6</v>
      </c>
      <c r="H137">
        <v>8</v>
      </c>
      <c r="I137">
        <v>13</v>
      </c>
      <c r="J137">
        <v>18</v>
      </c>
    </row>
    <row r="138" spans="1:10" x14ac:dyDescent="0.4">
      <c r="A138" s="2">
        <v>72500</v>
      </c>
      <c r="B138">
        <v>13</v>
      </c>
      <c r="D138">
        <v>2</v>
      </c>
      <c r="E138">
        <v>3</v>
      </c>
      <c r="F138">
        <v>4</v>
      </c>
      <c r="G138">
        <v>6</v>
      </c>
      <c r="H138">
        <v>8</v>
      </c>
      <c r="I138">
        <v>13</v>
      </c>
      <c r="J138">
        <v>17</v>
      </c>
    </row>
    <row r="139" spans="1:10" x14ac:dyDescent="0.4">
      <c r="A139" s="2">
        <v>73000</v>
      </c>
      <c r="B139">
        <v>13</v>
      </c>
      <c r="D139">
        <v>2</v>
      </c>
      <c r="E139">
        <v>3</v>
      </c>
      <c r="F139">
        <v>4</v>
      </c>
      <c r="G139">
        <v>6</v>
      </c>
      <c r="H139">
        <v>8</v>
      </c>
      <c r="I139">
        <v>13</v>
      </c>
      <c r="J139">
        <v>17</v>
      </c>
    </row>
    <row r="140" spans="1:10" x14ac:dyDescent="0.4">
      <c r="A140" s="2">
        <v>73500</v>
      </c>
      <c r="B140">
        <v>13</v>
      </c>
      <c r="D140">
        <v>2</v>
      </c>
      <c r="E140">
        <v>3</v>
      </c>
      <c r="F140">
        <v>4</v>
      </c>
      <c r="G140">
        <v>6</v>
      </c>
      <c r="H140">
        <v>8</v>
      </c>
      <c r="I140">
        <v>13</v>
      </c>
      <c r="J140">
        <v>17</v>
      </c>
    </row>
    <row r="141" spans="1:10" x14ac:dyDescent="0.4">
      <c r="A141" s="2">
        <v>74000</v>
      </c>
      <c r="B141">
        <v>13</v>
      </c>
      <c r="D141">
        <v>2</v>
      </c>
      <c r="E141">
        <v>3</v>
      </c>
      <c r="F141">
        <v>4</v>
      </c>
      <c r="G141">
        <v>6</v>
      </c>
      <c r="H141">
        <v>8</v>
      </c>
      <c r="I141">
        <v>13</v>
      </c>
      <c r="J141">
        <v>17</v>
      </c>
    </row>
    <row r="142" spans="1:10" x14ac:dyDescent="0.4">
      <c r="A142" s="2">
        <v>74500</v>
      </c>
      <c r="B142">
        <v>13</v>
      </c>
      <c r="D142">
        <v>2</v>
      </c>
      <c r="E142">
        <v>3</v>
      </c>
      <c r="F142">
        <v>4</v>
      </c>
      <c r="G142">
        <v>6</v>
      </c>
      <c r="H142">
        <v>8</v>
      </c>
      <c r="I142">
        <v>13</v>
      </c>
      <c r="J142">
        <v>17</v>
      </c>
    </row>
    <row r="143" spans="1:10" x14ac:dyDescent="0.4">
      <c r="A143" s="2">
        <v>75000</v>
      </c>
      <c r="B143">
        <v>13</v>
      </c>
      <c r="D143">
        <v>2</v>
      </c>
      <c r="E143">
        <v>3</v>
      </c>
      <c r="F143">
        <v>4</v>
      </c>
      <c r="G143">
        <v>6</v>
      </c>
      <c r="H143">
        <v>8</v>
      </c>
      <c r="I143">
        <v>13</v>
      </c>
      <c r="J143">
        <v>17</v>
      </c>
    </row>
    <row r="144" spans="1:10" x14ac:dyDescent="0.4">
      <c r="A144" s="2">
        <v>75500</v>
      </c>
      <c r="B144">
        <v>13</v>
      </c>
      <c r="D144">
        <v>2</v>
      </c>
      <c r="E144">
        <v>3</v>
      </c>
      <c r="F144">
        <v>4</v>
      </c>
      <c r="G144">
        <v>6</v>
      </c>
      <c r="H144">
        <v>8</v>
      </c>
      <c r="I144">
        <v>13</v>
      </c>
      <c r="J144">
        <v>17</v>
      </c>
    </row>
    <row r="145" spans="1:10" x14ac:dyDescent="0.4">
      <c r="A145" s="2">
        <v>76000</v>
      </c>
      <c r="B145">
        <v>13</v>
      </c>
      <c r="D145">
        <v>2</v>
      </c>
      <c r="E145">
        <v>3</v>
      </c>
      <c r="F145">
        <v>4</v>
      </c>
      <c r="G145">
        <v>6</v>
      </c>
      <c r="H145">
        <v>8</v>
      </c>
      <c r="I145">
        <v>13</v>
      </c>
      <c r="J145">
        <v>17</v>
      </c>
    </row>
    <row r="146" spans="1:10" x14ac:dyDescent="0.4">
      <c r="A146" s="2">
        <v>76500</v>
      </c>
      <c r="B146">
        <v>13</v>
      </c>
      <c r="D146">
        <v>2</v>
      </c>
      <c r="E146">
        <v>3</v>
      </c>
      <c r="F146">
        <v>4</v>
      </c>
      <c r="G146">
        <v>5</v>
      </c>
      <c r="H146">
        <v>8</v>
      </c>
      <c r="I146">
        <v>13</v>
      </c>
      <c r="J146">
        <v>17</v>
      </c>
    </row>
    <row r="147" spans="1:10" x14ac:dyDescent="0.4">
      <c r="A147" s="2">
        <v>77000</v>
      </c>
      <c r="B147">
        <v>13</v>
      </c>
      <c r="D147">
        <v>2</v>
      </c>
      <c r="E147">
        <v>3</v>
      </c>
      <c r="F147">
        <v>4</v>
      </c>
      <c r="G147">
        <v>5</v>
      </c>
      <c r="H147">
        <v>8</v>
      </c>
      <c r="I147">
        <v>13</v>
      </c>
      <c r="J147">
        <v>17</v>
      </c>
    </row>
    <row r="148" spans="1:10" x14ac:dyDescent="0.4">
      <c r="A148" s="2">
        <v>77500</v>
      </c>
      <c r="B148">
        <v>13</v>
      </c>
      <c r="D148">
        <v>2</v>
      </c>
      <c r="E148">
        <v>3</v>
      </c>
      <c r="F148">
        <v>4</v>
      </c>
      <c r="G148">
        <v>5</v>
      </c>
      <c r="H148">
        <v>8</v>
      </c>
      <c r="I148">
        <v>13</v>
      </c>
      <c r="J148">
        <v>17</v>
      </c>
    </row>
    <row r="149" spans="1:10" x14ac:dyDescent="0.4">
      <c r="A149" s="2">
        <v>78000</v>
      </c>
      <c r="B149">
        <v>12</v>
      </c>
      <c r="D149">
        <v>2</v>
      </c>
      <c r="E149">
        <v>3</v>
      </c>
      <c r="F149">
        <v>4</v>
      </c>
      <c r="G149">
        <v>5</v>
      </c>
      <c r="H149">
        <v>8</v>
      </c>
      <c r="I149">
        <v>12</v>
      </c>
      <c r="J149">
        <v>16</v>
      </c>
    </row>
    <row r="150" spans="1:10" x14ac:dyDescent="0.4">
      <c r="A150" s="2">
        <v>78500</v>
      </c>
      <c r="B150">
        <v>12</v>
      </c>
      <c r="D150">
        <v>2</v>
      </c>
      <c r="E150">
        <v>3</v>
      </c>
      <c r="F150">
        <v>4</v>
      </c>
      <c r="G150">
        <v>5</v>
      </c>
      <c r="H150">
        <v>8</v>
      </c>
      <c r="I150">
        <v>12</v>
      </c>
      <c r="J150">
        <v>16</v>
      </c>
    </row>
    <row r="151" spans="1:10" x14ac:dyDescent="0.4">
      <c r="A151" s="2">
        <v>79000</v>
      </c>
      <c r="B151">
        <v>12</v>
      </c>
      <c r="D151">
        <v>2</v>
      </c>
      <c r="E151">
        <v>3</v>
      </c>
      <c r="F151">
        <v>4</v>
      </c>
      <c r="G151">
        <v>5</v>
      </c>
      <c r="H151">
        <v>8</v>
      </c>
      <c r="I151">
        <v>12</v>
      </c>
      <c r="J151">
        <v>16</v>
      </c>
    </row>
    <row r="152" spans="1:10" x14ac:dyDescent="0.4">
      <c r="A152" s="2">
        <v>79500</v>
      </c>
      <c r="B152">
        <v>12</v>
      </c>
      <c r="D152">
        <v>2</v>
      </c>
      <c r="E152">
        <v>3</v>
      </c>
      <c r="F152">
        <v>4</v>
      </c>
      <c r="G152">
        <v>5</v>
      </c>
      <c r="H152">
        <v>8</v>
      </c>
      <c r="I152">
        <v>12</v>
      </c>
      <c r="J152">
        <v>16</v>
      </c>
    </row>
    <row r="153" spans="1:10" x14ac:dyDescent="0.4">
      <c r="A153" s="2">
        <v>80000</v>
      </c>
      <c r="B153">
        <v>12</v>
      </c>
      <c r="D153">
        <v>2</v>
      </c>
      <c r="E153">
        <v>3</v>
      </c>
      <c r="F153">
        <v>4</v>
      </c>
      <c r="G153">
        <v>5</v>
      </c>
      <c r="H153">
        <v>7</v>
      </c>
      <c r="I153">
        <v>12</v>
      </c>
      <c r="J153">
        <v>16</v>
      </c>
    </row>
    <row r="154" spans="1:10" x14ac:dyDescent="0.4">
      <c r="A154" s="2">
        <v>80500</v>
      </c>
      <c r="B154">
        <v>12</v>
      </c>
      <c r="D154">
        <v>2</v>
      </c>
      <c r="E154">
        <v>3</v>
      </c>
      <c r="F154">
        <v>4</v>
      </c>
      <c r="G154">
        <v>5</v>
      </c>
      <c r="H154">
        <v>7</v>
      </c>
      <c r="I154">
        <v>12</v>
      </c>
      <c r="J154">
        <v>16</v>
      </c>
    </row>
    <row r="155" spans="1:10" x14ac:dyDescent="0.4">
      <c r="A155" s="2">
        <v>81000</v>
      </c>
      <c r="B155">
        <v>12</v>
      </c>
      <c r="D155">
        <v>2</v>
      </c>
      <c r="E155">
        <v>3</v>
      </c>
      <c r="F155">
        <v>4</v>
      </c>
      <c r="G155">
        <v>5</v>
      </c>
      <c r="H155">
        <v>7</v>
      </c>
      <c r="I155">
        <v>12</v>
      </c>
      <c r="J155">
        <v>16</v>
      </c>
    </row>
    <row r="156" spans="1:10" x14ac:dyDescent="0.4">
      <c r="A156" s="2">
        <v>81500</v>
      </c>
      <c r="B156">
        <v>12</v>
      </c>
      <c r="D156">
        <v>2</v>
      </c>
      <c r="E156">
        <v>3</v>
      </c>
      <c r="F156">
        <v>4</v>
      </c>
      <c r="G156">
        <v>5</v>
      </c>
      <c r="H156">
        <v>7</v>
      </c>
      <c r="I156">
        <v>12</v>
      </c>
      <c r="J156">
        <v>16</v>
      </c>
    </row>
    <row r="157" spans="1:10" x14ac:dyDescent="0.4">
      <c r="A157" s="2">
        <v>82000</v>
      </c>
      <c r="B157">
        <v>12</v>
      </c>
      <c r="D157">
        <v>2</v>
      </c>
      <c r="E157">
        <v>3</v>
      </c>
      <c r="F157">
        <v>4</v>
      </c>
      <c r="G157">
        <v>5</v>
      </c>
      <c r="H157">
        <v>7</v>
      </c>
      <c r="I157">
        <v>12</v>
      </c>
      <c r="J157">
        <v>16</v>
      </c>
    </row>
    <row r="158" spans="1:10" x14ac:dyDescent="0.4">
      <c r="A158" s="2">
        <v>82500</v>
      </c>
      <c r="B158">
        <v>12</v>
      </c>
      <c r="D158">
        <v>2</v>
      </c>
      <c r="E158">
        <v>3</v>
      </c>
      <c r="F158">
        <v>4</v>
      </c>
      <c r="G158">
        <v>5</v>
      </c>
      <c r="H158">
        <v>7</v>
      </c>
      <c r="I158">
        <v>12</v>
      </c>
      <c r="J158">
        <v>16</v>
      </c>
    </row>
    <row r="159" spans="1:10" x14ac:dyDescent="0.4">
      <c r="A159" s="2">
        <v>83000</v>
      </c>
      <c r="B159">
        <v>12</v>
      </c>
      <c r="D159">
        <v>2</v>
      </c>
      <c r="E159">
        <v>3</v>
      </c>
      <c r="F159">
        <v>4</v>
      </c>
      <c r="G159">
        <v>5</v>
      </c>
      <c r="H159">
        <v>7</v>
      </c>
      <c r="I159">
        <v>12</v>
      </c>
      <c r="J159">
        <v>16</v>
      </c>
    </row>
    <row r="160" spans="1:10" x14ac:dyDescent="0.4">
      <c r="A160" s="2">
        <v>83500</v>
      </c>
      <c r="B160">
        <v>12</v>
      </c>
      <c r="D160">
        <v>2</v>
      </c>
      <c r="E160">
        <v>3</v>
      </c>
      <c r="F160">
        <v>4</v>
      </c>
      <c r="G160">
        <v>5</v>
      </c>
      <c r="H160">
        <v>7</v>
      </c>
      <c r="I160">
        <v>12</v>
      </c>
      <c r="J160">
        <v>16</v>
      </c>
    </row>
    <row r="161" spans="1:10" x14ac:dyDescent="0.4">
      <c r="A161" s="2">
        <v>84000</v>
      </c>
      <c r="B161">
        <v>12</v>
      </c>
      <c r="D161">
        <v>2</v>
      </c>
      <c r="E161">
        <v>3</v>
      </c>
      <c r="F161">
        <v>4</v>
      </c>
      <c r="G161">
        <v>5</v>
      </c>
      <c r="H161">
        <v>7</v>
      </c>
      <c r="I161">
        <v>12</v>
      </c>
      <c r="J161">
        <v>15</v>
      </c>
    </row>
    <row r="162" spans="1:10" x14ac:dyDescent="0.4">
      <c r="A162" s="2">
        <v>84500</v>
      </c>
      <c r="B162">
        <v>12</v>
      </c>
      <c r="D162">
        <v>2</v>
      </c>
      <c r="E162">
        <v>3</v>
      </c>
      <c r="F162">
        <v>4</v>
      </c>
      <c r="G162">
        <v>5</v>
      </c>
      <c r="H162">
        <v>7</v>
      </c>
      <c r="I162">
        <v>12</v>
      </c>
      <c r="J162">
        <v>15</v>
      </c>
    </row>
    <row r="163" spans="1:10" x14ac:dyDescent="0.4">
      <c r="A163" s="2">
        <v>85000</v>
      </c>
      <c r="B163">
        <v>12</v>
      </c>
      <c r="D163">
        <v>2</v>
      </c>
      <c r="E163">
        <v>3</v>
      </c>
      <c r="F163">
        <v>4</v>
      </c>
      <c r="G163">
        <v>5</v>
      </c>
      <c r="H163">
        <v>7</v>
      </c>
      <c r="I163">
        <v>12</v>
      </c>
      <c r="J163">
        <v>15</v>
      </c>
    </row>
    <row r="164" spans="1:10" x14ac:dyDescent="0.4">
      <c r="A164" s="2">
        <v>85500</v>
      </c>
      <c r="B164">
        <v>11</v>
      </c>
      <c r="D164">
        <v>2</v>
      </c>
      <c r="E164">
        <v>3</v>
      </c>
      <c r="F164">
        <v>4</v>
      </c>
      <c r="G164">
        <v>5</v>
      </c>
      <c r="H164">
        <v>7</v>
      </c>
      <c r="I164">
        <v>11</v>
      </c>
      <c r="J164">
        <v>15</v>
      </c>
    </row>
    <row r="165" spans="1:10" x14ac:dyDescent="0.4">
      <c r="A165" s="2">
        <v>86000</v>
      </c>
      <c r="B165">
        <v>11</v>
      </c>
      <c r="D165">
        <v>2</v>
      </c>
      <c r="E165">
        <v>3</v>
      </c>
      <c r="F165">
        <v>4</v>
      </c>
      <c r="G165">
        <v>5</v>
      </c>
      <c r="H165">
        <v>7</v>
      </c>
      <c r="I165">
        <v>11</v>
      </c>
      <c r="J165">
        <v>15</v>
      </c>
    </row>
    <row r="166" spans="1:10" x14ac:dyDescent="0.4">
      <c r="A166" s="2">
        <v>86500</v>
      </c>
      <c r="B166">
        <v>11</v>
      </c>
      <c r="D166">
        <v>2</v>
      </c>
      <c r="E166">
        <v>3</v>
      </c>
      <c r="F166">
        <v>4</v>
      </c>
      <c r="G166">
        <v>5</v>
      </c>
      <c r="H166">
        <v>7</v>
      </c>
      <c r="I166">
        <v>11</v>
      </c>
      <c r="J166">
        <v>15</v>
      </c>
    </row>
    <row r="167" spans="1:10" x14ac:dyDescent="0.4">
      <c r="A167" s="2">
        <v>87000</v>
      </c>
      <c r="B167">
        <v>11</v>
      </c>
      <c r="D167">
        <v>2</v>
      </c>
      <c r="E167">
        <v>3</v>
      </c>
      <c r="F167">
        <v>4</v>
      </c>
      <c r="G167">
        <v>5</v>
      </c>
      <c r="H167">
        <v>7</v>
      </c>
      <c r="I167">
        <v>11</v>
      </c>
      <c r="J167">
        <v>15</v>
      </c>
    </row>
    <row r="168" spans="1:10" x14ac:dyDescent="0.4">
      <c r="A168" s="2">
        <v>87500</v>
      </c>
      <c r="B168">
        <v>11</v>
      </c>
      <c r="D168">
        <v>2</v>
      </c>
      <c r="E168">
        <v>3</v>
      </c>
      <c r="F168">
        <v>4</v>
      </c>
      <c r="G168">
        <v>5</v>
      </c>
      <c r="H168">
        <v>7</v>
      </c>
      <c r="I168">
        <v>11</v>
      </c>
      <c r="J168">
        <v>15</v>
      </c>
    </row>
    <row r="169" spans="1:10" x14ac:dyDescent="0.4">
      <c r="A169" s="2">
        <v>88000</v>
      </c>
      <c r="B169">
        <v>11</v>
      </c>
      <c r="D169">
        <v>2</v>
      </c>
      <c r="E169">
        <v>3</v>
      </c>
      <c r="F169">
        <v>4</v>
      </c>
      <c r="G169">
        <v>5</v>
      </c>
      <c r="H169">
        <v>7</v>
      </c>
      <c r="I169">
        <v>11</v>
      </c>
      <c r="J169">
        <v>15</v>
      </c>
    </row>
    <row r="170" spans="1:10" x14ac:dyDescent="0.4">
      <c r="A170" s="2">
        <v>88500</v>
      </c>
      <c r="B170">
        <v>11</v>
      </c>
      <c r="D170">
        <v>2</v>
      </c>
      <c r="E170">
        <v>3</v>
      </c>
      <c r="F170">
        <v>4</v>
      </c>
      <c r="G170">
        <v>5</v>
      </c>
      <c r="H170">
        <v>7</v>
      </c>
      <c r="I170">
        <v>11</v>
      </c>
      <c r="J170">
        <v>15</v>
      </c>
    </row>
    <row r="171" spans="1:10" x14ac:dyDescent="0.4">
      <c r="A171" s="2">
        <v>89000</v>
      </c>
      <c r="B171">
        <v>11</v>
      </c>
      <c r="D171">
        <v>2</v>
      </c>
      <c r="E171">
        <v>3</v>
      </c>
      <c r="F171">
        <v>4</v>
      </c>
      <c r="G171">
        <v>5</v>
      </c>
      <c r="H171">
        <v>7</v>
      </c>
      <c r="I171">
        <v>11</v>
      </c>
      <c r="J171">
        <v>15</v>
      </c>
    </row>
    <row r="172" spans="1:10" x14ac:dyDescent="0.4">
      <c r="A172" s="2">
        <v>89500</v>
      </c>
      <c r="B172">
        <v>11</v>
      </c>
      <c r="D172">
        <v>2</v>
      </c>
      <c r="E172">
        <v>3</v>
      </c>
      <c r="F172">
        <v>4</v>
      </c>
      <c r="G172">
        <v>5</v>
      </c>
      <c r="H172">
        <v>7</v>
      </c>
      <c r="I172">
        <v>11</v>
      </c>
      <c r="J172">
        <v>15</v>
      </c>
    </row>
    <row r="173" spans="1:10" x14ac:dyDescent="0.4">
      <c r="A173" s="2">
        <v>90000</v>
      </c>
      <c r="B173">
        <v>11</v>
      </c>
      <c r="D173">
        <v>2</v>
      </c>
      <c r="E173">
        <v>3</v>
      </c>
      <c r="F173">
        <v>4</v>
      </c>
      <c r="G173">
        <v>5</v>
      </c>
      <c r="H173">
        <v>7</v>
      </c>
      <c r="I173">
        <v>11</v>
      </c>
      <c r="J173">
        <v>15</v>
      </c>
    </row>
    <row r="174" spans="1:10" x14ac:dyDescent="0.4">
      <c r="A174" s="2">
        <v>90500</v>
      </c>
      <c r="B174">
        <v>11</v>
      </c>
      <c r="D174">
        <v>2</v>
      </c>
      <c r="E174">
        <v>3</v>
      </c>
      <c r="F174">
        <v>4</v>
      </c>
      <c r="G174">
        <v>5</v>
      </c>
      <c r="H174">
        <v>7</v>
      </c>
      <c r="I174">
        <v>11</v>
      </c>
      <c r="J174">
        <v>15</v>
      </c>
    </row>
    <row r="175" spans="1:10" x14ac:dyDescent="0.4">
      <c r="A175" s="2">
        <v>91000</v>
      </c>
      <c r="B175">
        <v>11</v>
      </c>
      <c r="D175">
        <v>2</v>
      </c>
      <c r="E175">
        <v>3</v>
      </c>
      <c r="F175">
        <v>4</v>
      </c>
      <c r="G175">
        <v>5</v>
      </c>
      <c r="H175">
        <v>7</v>
      </c>
      <c r="I175">
        <v>11</v>
      </c>
      <c r="J175">
        <v>14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265"/>
  <sheetViews>
    <sheetView zoomScale="70" zoomScaleNormal="70" workbookViewId="0">
      <selection activeCell="S12" sqref="S12"/>
    </sheetView>
  </sheetViews>
  <sheetFormatPr defaultRowHeight="19.5" x14ac:dyDescent="0.4"/>
  <cols>
    <col min="1" max="1" width="9" customWidth="1"/>
    <col min="4" max="4" width="10.875" customWidth="1"/>
    <col min="16" max="16" width="23.5" customWidth="1"/>
    <col min="18" max="18" width="19.875" customWidth="1"/>
    <col min="19" max="19" width="24.875" customWidth="1"/>
    <col min="20" max="20" width="18.875" customWidth="1"/>
  </cols>
  <sheetData>
    <row r="1" spans="1:20" x14ac:dyDescent="0.4">
      <c r="C1" s="48" t="s">
        <v>17</v>
      </c>
      <c r="D1" s="49"/>
      <c r="E1" s="49"/>
      <c r="F1" s="50"/>
      <c r="G1" s="51" t="s">
        <v>14</v>
      </c>
      <c r="H1" s="52"/>
      <c r="I1" s="52"/>
      <c r="J1" s="53"/>
      <c r="K1" s="51" t="s">
        <v>18</v>
      </c>
      <c r="L1" s="52"/>
      <c r="M1" s="52"/>
      <c r="N1" s="53"/>
    </row>
    <row r="2" spans="1:20" x14ac:dyDescent="0.4">
      <c r="A2" t="s">
        <v>0</v>
      </c>
      <c r="B2" t="s">
        <v>1</v>
      </c>
      <c r="C2" s="7" t="s">
        <v>19</v>
      </c>
      <c r="D2" s="8" t="s">
        <v>20</v>
      </c>
      <c r="E2" s="29" t="s">
        <v>21</v>
      </c>
      <c r="F2" s="29" t="s">
        <v>28</v>
      </c>
      <c r="G2" s="7" t="s">
        <v>19</v>
      </c>
      <c r="H2" s="8" t="s">
        <v>20</v>
      </c>
      <c r="I2" s="29" t="s">
        <v>21</v>
      </c>
      <c r="J2" s="29" t="s">
        <v>28</v>
      </c>
      <c r="K2" s="7" t="s">
        <v>19</v>
      </c>
      <c r="L2" s="8" t="s">
        <v>20</v>
      </c>
      <c r="M2" s="29" t="s">
        <v>21</v>
      </c>
      <c r="N2" s="9" t="s">
        <v>28</v>
      </c>
      <c r="P2" s="18" t="s">
        <v>2</v>
      </c>
      <c r="R2" s="28" t="s">
        <v>5</v>
      </c>
      <c r="S2" s="9"/>
    </row>
    <row r="3" spans="1:20" x14ac:dyDescent="0.4">
      <c r="A3">
        <v>1</v>
      </c>
      <c r="B3" s="1">
        <f>P6</f>
        <v>26000</v>
      </c>
      <c r="C3" s="10">
        <f>MAX(0,MIN((0.1*($B3-1.5*$P$12*(1+$P$18)^(A3-1))/12),$S$11))</f>
        <v>65.916666666666671</v>
      </c>
      <c r="D3" s="39">
        <f>P9*(1+$S$5/$S$7)^($S$7/12)</f>
        <v>27033.712272534489</v>
      </c>
      <c r="E3" s="11">
        <f>MAX(IF(D3&gt;0,C3,C3+D3),0)</f>
        <v>65.916666666666671</v>
      </c>
      <c r="F3" s="11">
        <f>E3/(1+$P$15)^A3</f>
        <v>63.996763754045311</v>
      </c>
      <c r="G3" s="10">
        <f>MAX(0,0.1*($B3-1.5*$P$12*(1+$P$18)^(A3-1)))</f>
        <v>791</v>
      </c>
      <c r="H3" s="11">
        <f>$P$9*(1+$S$5)-G3</f>
        <v>27205.893999999997</v>
      </c>
      <c r="I3" s="11">
        <f>MAX(IF(H3&gt;0,G3,G3+H3),0)</f>
        <v>791</v>
      </c>
      <c r="J3" s="11">
        <f>I3/(1+$P$15)^A3</f>
        <v>767.96116504854365</v>
      </c>
      <c r="K3" s="10">
        <f>MAX(25*12,0.15*($B3-1.5*$P$12*(1+$P$18)^(A3-1)))</f>
        <v>1186.5</v>
      </c>
      <c r="L3" s="11">
        <f>$P$9*(1+$S$5)-K3</f>
        <v>26810.393999999997</v>
      </c>
      <c r="M3" s="11">
        <f>MAX(IF(L3&gt;0,K3,K3+L3),0)</f>
        <v>1186.5</v>
      </c>
      <c r="N3" s="12">
        <f>M3/(1+$P$15)^A3</f>
        <v>1151.9417475728155</v>
      </c>
      <c r="O3" s="1"/>
      <c r="P3" s="4">
        <v>0.05</v>
      </c>
      <c r="R3" s="15"/>
      <c r="S3" s="17"/>
    </row>
    <row r="4" spans="1:20" x14ac:dyDescent="0.4">
      <c r="B4" s="1"/>
      <c r="C4" s="10">
        <f>C3</f>
        <v>65.916666666666671</v>
      </c>
      <c r="D4" s="39">
        <f>(D3-C3)*(1+$S$5/$S$7)^($S$7/12)</f>
        <v>27055.578825560398</v>
      </c>
      <c r="E4" s="11">
        <f t="shared" ref="E4:E14" si="0">MAX(IF(D4&gt;0,C4,C4+D4),0)</f>
        <v>65.916666666666671</v>
      </c>
      <c r="F4" s="11">
        <f>F3</f>
        <v>63.996763754045311</v>
      </c>
      <c r="G4" s="10"/>
      <c r="H4" s="11"/>
      <c r="I4" s="11"/>
      <c r="J4" s="11"/>
      <c r="K4" s="10"/>
      <c r="L4" s="11"/>
      <c r="M4" s="11"/>
      <c r="N4" s="12"/>
      <c r="O4" s="1"/>
      <c r="P4" s="4"/>
      <c r="R4" s="7" t="s">
        <v>6</v>
      </c>
      <c r="S4" s="9">
        <v>10</v>
      </c>
    </row>
    <row r="5" spans="1:20" x14ac:dyDescent="0.4">
      <c r="B5" s="1"/>
      <c r="C5" s="10">
        <f t="shared" ref="C5:C14" si="1">C4</f>
        <v>65.916666666666671</v>
      </c>
      <c r="D5" s="39">
        <f t="shared" ref="D5:D68" si="2">(D4-C4)*(1+$S$5/$S$7)^($S$7/12)</f>
        <v>27077.516556685412</v>
      </c>
      <c r="E5" s="11">
        <f t="shared" si="0"/>
        <v>65.916666666666671</v>
      </c>
      <c r="F5" s="11">
        <f t="shared" ref="F5:F14" si="3">F4</f>
        <v>63.996763754045311</v>
      </c>
      <c r="G5" s="10"/>
      <c r="H5" s="11"/>
      <c r="I5" s="11"/>
      <c r="J5" s="11"/>
      <c r="K5" s="10"/>
      <c r="L5" s="11"/>
      <c r="M5" s="11"/>
      <c r="N5" s="12"/>
      <c r="O5" s="1"/>
      <c r="P5" s="19" t="s">
        <v>22</v>
      </c>
      <c r="R5" s="13" t="s">
        <v>7</v>
      </c>
      <c r="S5" s="14">
        <v>3.9E-2</v>
      </c>
    </row>
    <row r="6" spans="1:20" x14ac:dyDescent="0.4">
      <c r="B6" s="1"/>
      <c r="C6" s="10">
        <f t="shared" si="1"/>
        <v>65.916666666666671</v>
      </c>
      <c r="D6" s="39">
        <f t="shared" si="2"/>
        <v>27099.525697602276</v>
      </c>
      <c r="E6" s="11">
        <f t="shared" si="0"/>
        <v>65.916666666666671</v>
      </c>
      <c r="F6" s="11">
        <f t="shared" si="3"/>
        <v>63.996763754045311</v>
      </c>
      <c r="G6" s="10"/>
      <c r="H6" s="11"/>
      <c r="I6" s="11"/>
      <c r="J6" s="11"/>
      <c r="K6" s="10"/>
      <c r="L6" s="11"/>
      <c r="M6" s="11"/>
      <c r="N6" s="12"/>
      <c r="O6" s="1"/>
      <c r="P6" s="41">
        <v>26000</v>
      </c>
      <c r="R6" s="13" t="s">
        <v>8</v>
      </c>
      <c r="S6" s="14">
        <v>0</v>
      </c>
    </row>
    <row r="7" spans="1:20" x14ac:dyDescent="0.4">
      <c r="B7" s="1"/>
      <c r="C7" s="10">
        <f t="shared" si="1"/>
        <v>65.916666666666671</v>
      </c>
      <c r="D7" s="39">
        <f t="shared" si="2"/>
        <v>27121.606480757928</v>
      </c>
      <c r="E7" s="11">
        <f t="shared" si="0"/>
        <v>65.916666666666671</v>
      </c>
      <c r="F7" s="11">
        <f t="shared" si="3"/>
        <v>63.996763754045311</v>
      </c>
      <c r="G7" s="10"/>
      <c r="H7" s="11"/>
      <c r="I7" s="11"/>
      <c r="J7" s="11"/>
      <c r="K7" s="10"/>
      <c r="L7" s="11"/>
      <c r="M7" s="11"/>
      <c r="N7" s="12"/>
      <c r="O7" s="1"/>
      <c r="P7" s="4"/>
      <c r="R7" s="13" t="s">
        <v>36</v>
      </c>
      <c r="S7" s="14">
        <v>365.25</v>
      </c>
    </row>
    <row r="8" spans="1:20" x14ac:dyDescent="0.4">
      <c r="B8" s="1"/>
      <c r="C8" s="10">
        <f t="shared" si="1"/>
        <v>65.916666666666671</v>
      </c>
      <c r="D8" s="39">
        <f t="shared" si="2"/>
        <v>27143.759139355941</v>
      </c>
      <c r="E8" s="11">
        <f t="shared" si="0"/>
        <v>65.916666666666671</v>
      </c>
      <c r="F8" s="11">
        <f t="shared" si="3"/>
        <v>63.996763754045311</v>
      </c>
      <c r="G8" s="10"/>
      <c r="H8" s="11"/>
      <c r="I8" s="11"/>
      <c r="J8" s="11"/>
      <c r="K8" s="10"/>
      <c r="L8" s="11"/>
      <c r="M8" s="11"/>
      <c r="N8" s="12"/>
      <c r="O8" s="1"/>
      <c r="P8" s="19" t="s">
        <v>3</v>
      </c>
      <c r="R8" s="13" t="s">
        <v>6</v>
      </c>
      <c r="S8" s="14">
        <v>10</v>
      </c>
    </row>
    <row r="9" spans="1:20" x14ac:dyDescent="0.4">
      <c r="B9" s="1"/>
      <c r="C9" s="10">
        <f t="shared" si="1"/>
        <v>65.916666666666671</v>
      </c>
      <c r="D9" s="39">
        <f t="shared" si="2"/>
        <v>27165.983907359001</v>
      </c>
      <c r="E9" s="11">
        <f t="shared" si="0"/>
        <v>65.916666666666671</v>
      </c>
      <c r="F9" s="11">
        <f t="shared" si="3"/>
        <v>63.996763754045311</v>
      </c>
      <c r="G9" s="10"/>
      <c r="H9" s="11"/>
      <c r="I9" s="11"/>
      <c r="J9" s="11"/>
      <c r="K9" s="10"/>
      <c r="L9" s="11"/>
      <c r="M9" s="11"/>
      <c r="N9" s="12"/>
      <c r="O9" s="1"/>
      <c r="P9" s="41">
        <v>26946</v>
      </c>
      <c r="R9" s="13" t="s">
        <v>3</v>
      </c>
      <c r="S9" s="12">
        <f>P9*(1+S6)</f>
        <v>26946</v>
      </c>
    </row>
    <row r="10" spans="1:20" x14ac:dyDescent="0.4">
      <c r="B10" s="1"/>
      <c r="C10" s="10">
        <f t="shared" si="1"/>
        <v>65.916666666666671</v>
      </c>
      <c r="D10" s="39">
        <f t="shared" si="2"/>
        <v>27188.281019491358</v>
      </c>
      <c r="E10" s="11">
        <f t="shared" si="0"/>
        <v>65.916666666666671</v>
      </c>
      <c r="F10" s="11">
        <f t="shared" si="3"/>
        <v>63.996763754045311</v>
      </c>
      <c r="G10" s="10"/>
      <c r="H10" s="11"/>
      <c r="I10" s="11"/>
      <c r="J10" s="11"/>
      <c r="K10" s="10"/>
      <c r="L10" s="11"/>
      <c r="M10" s="11"/>
      <c r="N10" s="12"/>
      <c r="O10" s="1"/>
      <c r="P10" s="4"/>
      <c r="R10" s="13" t="s">
        <v>37</v>
      </c>
      <c r="S10" s="40">
        <f>(1+(S5/S7))^(S7/12)-1</f>
        <v>3.2551129122870837E-3</v>
      </c>
      <c r="T10" s="38" t="s">
        <v>38</v>
      </c>
    </row>
    <row r="11" spans="1:20" x14ac:dyDescent="0.4">
      <c r="B11" s="1"/>
      <c r="C11" s="10">
        <f t="shared" si="1"/>
        <v>65.916666666666671</v>
      </c>
      <c r="D11" s="39">
        <f t="shared" si="2"/>
        <v>27210.650711241324</v>
      </c>
      <c r="E11" s="11">
        <f t="shared" si="0"/>
        <v>65.916666666666671</v>
      </c>
      <c r="F11" s="11">
        <f t="shared" si="3"/>
        <v>63.996763754045311</v>
      </c>
      <c r="G11" s="10"/>
      <c r="H11" s="11"/>
      <c r="I11" s="11"/>
      <c r="J11" s="11"/>
      <c r="K11" s="10"/>
      <c r="L11" s="11"/>
      <c r="M11" s="11"/>
      <c r="N11" s="12"/>
      <c r="O11" s="1"/>
      <c r="P11" s="19" t="s">
        <v>23</v>
      </c>
      <c r="R11" s="13" t="s">
        <v>39</v>
      </c>
      <c r="S11" s="12">
        <f>(S9*S10*((1+S10)^120))/(((1+S10)^120)-1)</f>
        <v>271.61470362205529</v>
      </c>
    </row>
    <row r="12" spans="1:20" x14ac:dyDescent="0.4">
      <c r="B12" s="1"/>
      <c r="C12" s="10">
        <f t="shared" si="1"/>
        <v>65.916666666666671</v>
      </c>
      <c r="D12" s="39">
        <f t="shared" si="2"/>
        <v>27233.093218863749</v>
      </c>
      <c r="E12" s="11">
        <f t="shared" si="0"/>
        <v>65.916666666666671</v>
      </c>
      <c r="F12" s="11">
        <f t="shared" si="3"/>
        <v>63.996763754045311</v>
      </c>
      <c r="G12" s="10"/>
      <c r="H12" s="11"/>
      <c r="I12" s="11"/>
      <c r="J12" s="11"/>
      <c r="K12" s="10"/>
      <c r="L12" s="11"/>
      <c r="M12" s="11"/>
      <c r="N12" s="12"/>
      <c r="O12" s="1"/>
      <c r="P12" s="21">
        <v>12060</v>
      </c>
      <c r="R12" s="13" t="s">
        <v>9</v>
      </c>
      <c r="S12" s="12">
        <f>S11*S4*12</f>
        <v>32593.764434646633</v>
      </c>
    </row>
    <row r="13" spans="1:20" x14ac:dyDescent="0.4">
      <c r="B13" s="1"/>
      <c r="C13" s="10">
        <f t="shared" si="1"/>
        <v>65.916666666666671</v>
      </c>
      <c r="D13" s="39">
        <f t="shared" si="2"/>
        <v>27255.608779382521</v>
      </c>
      <c r="E13" s="11">
        <f t="shared" si="0"/>
        <v>65.916666666666671</v>
      </c>
      <c r="F13" s="11">
        <f t="shared" si="3"/>
        <v>63.996763754045311</v>
      </c>
      <c r="G13" s="10"/>
      <c r="H13" s="11"/>
      <c r="I13" s="11"/>
      <c r="J13" s="11"/>
      <c r="K13" s="10"/>
      <c r="L13" s="11"/>
      <c r="M13" s="11"/>
      <c r="N13" s="12"/>
      <c r="O13" s="1"/>
      <c r="P13" s="4"/>
      <c r="R13" s="15" t="s">
        <v>11</v>
      </c>
      <c r="S13" s="20">
        <f>-PV(P15,S4,S11)</f>
        <v>2316.9285153468818</v>
      </c>
    </row>
    <row r="14" spans="1:20" x14ac:dyDescent="0.4">
      <c r="B14" s="1"/>
      <c r="C14" s="10">
        <f t="shared" si="1"/>
        <v>65.916666666666671</v>
      </c>
      <c r="D14" s="39">
        <f t="shared" si="2"/>
        <v>27278.197630593066</v>
      </c>
      <c r="E14" s="11">
        <f t="shared" si="0"/>
        <v>65.916666666666671</v>
      </c>
      <c r="F14" s="11">
        <f t="shared" si="3"/>
        <v>63.996763754045311</v>
      </c>
      <c r="G14" s="10"/>
      <c r="H14" s="11"/>
      <c r="I14" s="11"/>
      <c r="J14" s="11"/>
      <c r="K14" s="10"/>
      <c r="L14" s="11"/>
      <c r="M14" s="11"/>
      <c r="N14" s="12"/>
      <c r="O14" s="1"/>
      <c r="P14" s="19" t="s">
        <v>10</v>
      </c>
    </row>
    <row r="15" spans="1:20" x14ac:dyDescent="0.4">
      <c r="A15">
        <f>A3+1</f>
        <v>2</v>
      </c>
      <c r="B15" s="1">
        <f>B3*(1+$P$3)</f>
        <v>27300</v>
      </c>
      <c r="C15" s="10">
        <f>MAX(0,MIN((0.1*($B15-1.5*$P$12*(1+$P$18)^(A15-1))/12),$S$11))</f>
        <v>72.981250000000003</v>
      </c>
      <c r="D15" s="39">
        <f t="shared" si="2"/>
        <v>27300.860011064859</v>
      </c>
      <c r="E15" s="11">
        <f>MAX(IF(D15&gt;0,C15,C15+D15),0)</f>
        <v>72.981250000000003</v>
      </c>
      <c r="F15" s="11">
        <f t="shared" ref="F15:F63" si="4">E15/(1+$P$15)^A15</f>
        <v>68.791827693467809</v>
      </c>
      <c r="G15" s="10">
        <f t="shared" ref="G15:G63" si="5">MAX(0,0.1*($B15-1.5*$P$12*(1+$P$18)^(A15-1)))</f>
        <v>875.77500000000009</v>
      </c>
      <c r="H15" s="11">
        <f>H3*(1+$S$5)-G15</f>
        <v>27391.148865999992</v>
      </c>
      <c r="I15" s="11">
        <f>MAX(IF(H15&gt;0,G15,G15+H15),0)</f>
        <v>875.77500000000009</v>
      </c>
      <c r="J15" s="11">
        <f t="shared" ref="J15:J63" si="6">I15/(1+$P$15)^A15</f>
        <v>825.50193232161382</v>
      </c>
      <c r="K15" s="10">
        <f t="shared" ref="K15:K63" si="7">MAX(25*12,0.15*($B15-1.5*$P$12*(1+$P$18)^(A15-1)))</f>
        <v>1313.6624999999999</v>
      </c>
      <c r="L15" s="11">
        <f>L3*(1+$S$5)-K15</f>
        <v>26542.336865999994</v>
      </c>
      <c r="M15" s="11">
        <f>IF(AND(SUM($K$3:K15)&gt;=$S$12,M3&lt;$S$12),$S$12-M3,IF(AND(SUM($K$3:K15)&gt;=$S$12,M3&gt;$S$12),0,K15))</f>
        <v>1313.6624999999999</v>
      </c>
      <c r="N15" s="12">
        <f t="shared" ref="N15:N63" si="8">M15/(1+$P$15)^A15</f>
        <v>1238.2528984824205</v>
      </c>
      <c r="O15" s="1"/>
      <c r="P15" s="4">
        <v>0.03</v>
      </c>
    </row>
    <row r="16" spans="1:20" x14ac:dyDescent="0.4">
      <c r="B16" s="1"/>
      <c r="C16" s="10">
        <f>C15</f>
        <v>72.981250000000003</v>
      </c>
      <c r="D16" s="39">
        <f t="shared" si="2"/>
        <v>27316.508580794187</v>
      </c>
      <c r="E16" s="11">
        <f t="shared" ref="E16:E26" si="9">MAX(IF(D16&gt;0,C16,C16+D16),0)</f>
        <v>72.981250000000003</v>
      </c>
      <c r="F16" s="11">
        <f>F15</f>
        <v>68.791827693467809</v>
      </c>
      <c r="G16" s="10"/>
      <c r="H16" s="11"/>
      <c r="I16" s="11"/>
      <c r="J16" s="11"/>
      <c r="K16" s="10"/>
      <c r="L16" s="11"/>
      <c r="M16" s="11"/>
      <c r="N16" s="12"/>
      <c r="O16" s="1"/>
      <c r="P16" s="4"/>
    </row>
    <row r="17" spans="1:20" x14ac:dyDescent="0.4">
      <c r="B17" s="1"/>
      <c r="C17" s="10">
        <f t="shared" ref="C17:C26" si="10">C16</f>
        <v>72.981250000000003</v>
      </c>
      <c r="D17" s="39">
        <f t="shared" si="2"/>
        <v>27332.208088384901</v>
      </c>
      <c r="E17" s="11">
        <f t="shared" si="9"/>
        <v>72.981250000000003</v>
      </c>
      <c r="F17" s="11">
        <f t="shared" ref="F17:F26" si="11">F16</f>
        <v>68.791827693467809</v>
      </c>
      <c r="G17" s="10"/>
      <c r="H17" s="11"/>
      <c r="I17" s="11"/>
      <c r="J17" s="11"/>
      <c r="K17" s="10"/>
      <c r="L17" s="11"/>
      <c r="M17" s="11"/>
      <c r="N17" s="12"/>
      <c r="O17" s="1"/>
      <c r="P17" s="19" t="s">
        <v>13</v>
      </c>
    </row>
    <row r="18" spans="1:20" x14ac:dyDescent="0.4">
      <c r="B18" s="1"/>
      <c r="C18" s="10">
        <f t="shared" si="10"/>
        <v>72.981250000000003</v>
      </c>
      <c r="D18" s="39">
        <f t="shared" si="2"/>
        <v>27347.958699645489</v>
      </c>
      <c r="E18" s="11">
        <f t="shared" si="9"/>
        <v>72.981250000000003</v>
      </c>
      <c r="F18" s="11">
        <f t="shared" si="11"/>
        <v>68.791827693467809</v>
      </c>
      <c r="G18" s="10"/>
      <c r="H18" s="11"/>
      <c r="I18" s="11"/>
      <c r="J18" s="11"/>
      <c r="K18" s="10"/>
      <c r="L18" s="11"/>
      <c r="M18" s="11"/>
      <c r="N18" s="12"/>
      <c r="O18" s="1"/>
      <c r="P18" s="4">
        <v>2.5000000000000001E-2</v>
      </c>
    </row>
    <row r="19" spans="1:20" x14ac:dyDescent="0.4">
      <c r="B19" s="1"/>
      <c r="C19" s="10">
        <f t="shared" si="10"/>
        <v>72.981250000000003</v>
      </c>
      <c r="D19" s="39">
        <f t="shared" si="2"/>
        <v>27363.760580924169</v>
      </c>
      <c r="E19" s="11">
        <f t="shared" si="9"/>
        <v>72.981250000000003</v>
      </c>
      <c r="F19" s="11">
        <f t="shared" si="11"/>
        <v>68.791827693467809</v>
      </c>
      <c r="G19" s="10"/>
      <c r="H19" s="11"/>
      <c r="I19" s="11"/>
      <c r="J19" s="11"/>
      <c r="K19" s="10"/>
      <c r="L19" s="11"/>
      <c r="M19" s="11"/>
      <c r="N19" s="12"/>
      <c r="O19" s="1"/>
      <c r="P19" s="4"/>
    </row>
    <row r="20" spans="1:20" x14ac:dyDescent="0.4">
      <c r="B20" s="1"/>
      <c r="C20" s="10">
        <f t="shared" si="10"/>
        <v>72.981250000000003</v>
      </c>
      <c r="D20" s="39">
        <f t="shared" si="2"/>
        <v>27379.613899110638</v>
      </c>
      <c r="E20" s="11">
        <f t="shared" si="9"/>
        <v>72.981250000000003</v>
      </c>
      <c r="F20" s="11">
        <f t="shared" si="11"/>
        <v>68.791827693467809</v>
      </c>
      <c r="G20" s="10"/>
      <c r="H20" s="11"/>
      <c r="I20" s="11"/>
      <c r="J20" s="11"/>
      <c r="K20" s="10"/>
      <c r="L20" s="11"/>
      <c r="M20" s="11"/>
      <c r="N20" s="12"/>
      <c r="O20" s="1"/>
      <c r="P20" s="19" t="s">
        <v>25</v>
      </c>
    </row>
    <row r="21" spans="1:20" x14ac:dyDescent="0.4">
      <c r="B21" s="1"/>
      <c r="C21" s="10">
        <f t="shared" si="10"/>
        <v>72.981250000000003</v>
      </c>
      <c r="D21" s="39">
        <f t="shared" si="2"/>
        <v>27395.518821637837</v>
      </c>
      <c r="E21" s="11">
        <f t="shared" si="9"/>
        <v>72.981250000000003</v>
      </c>
      <c r="F21" s="11">
        <f t="shared" si="11"/>
        <v>68.791827693467809</v>
      </c>
      <c r="G21" s="10"/>
      <c r="H21" s="11"/>
      <c r="I21" s="11"/>
      <c r="J21" s="11"/>
      <c r="K21" s="10"/>
      <c r="L21" s="11"/>
      <c r="M21" s="11"/>
      <c r="N21" s="12"/>
      <c r="O21" s="1"/>
      <c r="P21" s="5">
        <v>0</v>
      </c>
    </row>
    <row r="22" spans="1:20" x14ac:dyDescent="0.4">
      <c r="B22" s="1"/>
      <c r="C22" s="10">
        <f t="shared" si="10"/>
        <v>72.981250000000003</v>
      </c>
      <c r="D22" s="39">
        <f t="shared" si="2"/>
        <v>27411.475516483722</v>
      </c>
      <c r="E22" s="11">
        <f t="shared" si="9"/>
        <v>72.981250000000003</v>
      </c>
      <c r="F22" s="11">
        <f t="shared" si="11"/>
        <v>68.791827693467809</v>
      </c>
      <c r="G22" s="10"/>
      <c r="H22" s="11"/>
      <c r="I22" s="11"/>
      <c r="J22" s="11"/>
      <c r="K22" s="10"/>
      <c r="L22" s="11"/>
      <c r="M22" s="11"/>
      <c r="N22" s="12"/>
      <c r="O22" s="1"/>
    </row>
    <row r="23" spans="1:20" x14ac:dyDescent="0.4">
      <c r="B23" s="1"/>
      <c r="C23" s="10">
        <f t="shared" si="10"/>
        <v>72.981250000000003</v>
      </c>
      <c r="D23" s="39">
        <f t="shared" si="2"/>
        <v>27427.484152173038</v>
      </c>
      <c r="E23" s="11">
        <f t="shared" si="9"/>
        <v>72.981250000000003</v>
      </c>
      <c r="F23" s="11">
        <f t="shared" si="11"/>
        <v>68.791827693467809</v>
      </c>
      <c r="G23" s="10"/>
      <c r="H23" s="11"/>
      <c r="I23" s="11"/>
      <c r="J23" s="11"/>
      <c r="K23" s="10"/>
      <c r="L23" s="11"/>
      <c r="M23" s="11"/>
      <c r="N23" s="12"/>
      <c r="O23" s="1"/>
    </row>
    <row r="24" spans="1:20" x14ac:dyDescent="0.4">
      <c r="B24" s="1"/>
      <c r="C24" s="10">
        <f t="shared" si="10"/>
        <v>72.981250000000003</v>
      </c>
      <c r="D24" s="39">
        <f t="shared" si="2"/>
        <v>27443.544897779095</v>
      </c>
      <c r="E24" s="11">
        <f t="shared" si="9"/>
        <v>72.981250000000003</v>
      </c>
      <c r="F24" s="11">
        <f t="shared" si="11"/>
        <v>68.791827693467809</v>
      </c>
      <c r="G24" s="10"/>
      <c r="H24" s="11"/>
      <c r="I24" s="11"/>
      <c r="J24" s="11"/>
      <c r="K24" s="10"/>
      <c r="L24" s="11"/>
      <c r="M24" s="11"/>
      <c r="N24" s="12"/>
      <c r="O24" s="1"/>
      <c r="P24" s="31" t="s">
        <v>29</v>
      </c>
      <c r="Q24" s="32">
        <f>F263</f>
        <v>4538.6371972866154</v>
      </c>
      <c r="R24" s="32">
        <f>J263</f>
        <v>2477.4161570090246</v>
      </c>
      <c r="S24" s="32">
        <f>N263</f>
        <v>24746.067779416939</v>
      </c>
      <c r="T24" s="33">
        <f>S13</f>
        <v>2316.9285153468818</v>
      </c>
    </row>
    <row r="25" spans="1:20" x14ac:dyDescent="0.4">
      <c r="B25" s="1"/>
      <c r="C25" s="10">
        <f t="shared" si="10"/>
        <v>72.981250000000003</v>
      </c>
      <c r="D25" s="39">
        <f t="shared" si="2"/>
        <v>27459.657922925555</v>
      </c>
      <c r="E25" s="11">
        <f t="shared" si="9"/>
        <v>72.981250000000003</v>
      </c>
      <c r="F25" s="11">
        <f t="shared" si="11"/>
        <v>68.791827693467809</v>
      </c>
      <c r="G25" s="10"/>
      <c r="H25" s="11"/>
      <c r="I25" s="11"/>
      <c r="J25" s="11"/>
      <c r="K25" s="10"/>
      <c r="L25" s="11"/>
      <c r="M25" s="11"/>
      <c r="N25" s="12"/>
      <c r="O25" s="1"/>
    </row>
    <row r="26" spans="1:20" x14ac:dyDescent="0.4">
      <c r="B26" s="1"/>
      <c r="C26" s="10">
        <f t="shared" si="10"/>
        <v>72.981250000000003</v>
      </c>
      <c r="D26" s="39">
        <f t="shared" si="2"/>
        <v>27475.823397788226</v>
      </c>
      <c r="E26" s="11">
        <f t="shared" si="9"/>
        <v>72.981250000000003</v>
      </c>
      <c r="F26" s="11">
        <f t="shared" si="11"/>
        <v>68.791827693467809</v>
      </c>
      <c r="G26" s="10"/>
      <c r="H26" s="11"/>
      <c r="I26" s="11"/>
      <c r="J26" s="11"/>
      <c r="K26" s="10"/>
      <c r="L26" s="11"/>
      <c r="M26" s="11"/>
      <c r="N26" s="12"/>
      <c r="O26" s="1"/>
    </row>
    <row r="27" spans="1:20" x14ac:dyDescent="0.4">
      <c r="A27">
        <f>A15+1</f>
        <v>3</v>
      </c>
      <c r="B27" s="1">
        <f>B15*(1+$P$3)</f>
        <v>28665</v>
      </c>
      <c r="C27" s="10">
        <f>MAX(0,MIN((0.1*($B27-1.5*$P$12*(1+$P$18)^(A27-1))/12),$S$11))</f>
        <v>80.493281250000024</v>
      </c>
      <c r="D27" s="39">
        <f t="shared" si="2"/>
        <v>27492.041493096855</v>
      </c>
      <c r="E27" s="11">
        <f t="shared" ref="E27:E219" si="12">MAX(IF(D27&gt;0,C27,C27+D27),0)</f>
        <v>80.493281250000024</v>
      </c>
      <c r="F27" s="11">
        <f t="shared" si="4"/>
        <v>73.662754969905592</v>
      </c>
      <c r="G27" s="10">
        <f t="shared" si="5"/>
        <v>965.91937500000029</v>
      </c>
      <c r="H27" s="11">
        <f>H15*(1+$S$5)-G27</f>
        <v>27493.48429677399</v>
      </c>
      <c r="I27" s="11">
        <f t="shared" ref="I27:I247" si="13">MAX(IF(H27&gt;0,G27,G27+H27),0)</f>
        <v>965.91937500000029</v>
      </c>
      <c r="J27" s="11">
        <f t="shared" si="6"/>
        <v>883.9530596388671</v>
      </c>
      <c r="K27" s="10">
        <f t="shared" si="7"/>
        <v>1448.8790625000004</v>
      </c>
      <c r="L27" s="11">
        <f>L15*(1+$S$5)-K27</f>
        <v>26128.608941273993</v>
      </c>
      <c r="M27" s="11">
        <f>IF(AND(SUM($K$3:K27)&gt;=$S$12,SUM($M$3:M15)&lt;$S$12),$S$12-SUM($M$3:M15),IF(AND(SUM($K$3:K15)&gt;=$S$12,SUM($M$3:M15)=$S$12),0,K27))</f>
        <v>1448.8790625000004</v>
      </c>
      <c r="N27" s="12">
        <f t="shared" si="8"/>
        <v>1325.9295894583006</v>
      </c>
      <c r="O27" s="1"/>
    </row>
    <row r="28" spans="1:20" x14ac:dyDescent="0.4">
      <c r="B28" s="1"/>
      <c r="C28" s="10">
        <f>C27</f>
        <v>80.493281250000024</v>
      </c>
      <c r="D28" s="39">
        <f t="shared" si="2"/>
        <v>27500.775896377017</v>
      </c>
      <c r="E28" s="11">
        <f t="shared" si="12"/>
        <v>80.493281250000024</v>
      </c>
      <c r="F28" s="11">
        <f>F27</f>
        <v>73.662754969905592</v>
      </c>
      <c r="G28" s="10"/>
      <c r="H28" s="11"/>
      <c r="I28" s="11"/>
      <c r="J28" s="11"/>
      <c r="K28" s="10"/>
      <c r="L28" s="11"/>
      <c r="M28" s="11"/>
      <c r="N28" s="12"/>
      <c r="O28" s="1"/>
    </row>
    <row r="29" spans="1:20" x14ac:dyDescent="0.4">
      <c r="B29" s="1"/>
      <c r="C29" s="10">
        <f t="shared" ref="C29:C38" si="14">C28</f>
        <v>80.493281250000024</v>
      </c>
      <c r="D29" s="39">
        <f t="shared" si="2"/>
        <v>27509.538731126078</v>
      </c>
      <c r="E29" s="11">
        <f t="shared" si="12"/>
        <v>80.493281250000024</v>
      </c>
      <c r="F29" s="11">
        <f t="shared" ref="F29:F38" si="15">F28</f>
        <v>73.662754969905592</v>
      </c>
      <c r="G29" s="10"/>
      <c r="H29" s="11"/>
      <c r="I29" s="11"/>
      <c r="J29" s="11"/>
      <c r="K29" s="10"/>
      <c r="L29" s="11"/>
      <c r="M29" s="11"/>
      <c r="N29" s="12"/>
      <c r="O29" s="1"/>
    </row>
    <row r="30" spans="1:20" x14ac:dyDescent="0.4">
      <c r="B30" s="1"/>
      <c r="C30" s="10">
        <f t="shared" si="14"/>
        <v>80.493281250000024</v>
      </c>
      <c r="D30" s="39">
        <f t="shared" si="2"/>
        <v>27518.330089891679</v>
      </c>
      <c r="E30" s="11">
        <f t="shared" si="12"/>
        <v>80.493281250000024</v>
      </c>
      <c r="F30" s="11">
        <f t="shared" si="15"/>
        <v>73.662754969905592</v>
      </c>
      <c r="G30" s="10"/>
      <c r="H30" s="11"/>
      <c r="I30" s="11"/>
      <c r="J30" s="11"/>
      <c r="K30" s="10"/>
      <c r="L30" s="11"/>
      <c r="M30" s="11"/>
      <c r="N30" s="12"/>
      <c r="O30" s="1"/>
    </row>
    <row r="31" spans="1:20" x14ac:dyDescent="0.4">
      <c r="B31" s="1"/>
      <c r="C31" s="10">
        <f t="shared" si="14"/>
        <v>80.493281250000024</v>
      </c>
      <c r="D31" s="39">
        <f t="shared" si="2"/>
        <v>27527.150065522714</v>
      </c>
      <c r="E31" s="11">
        <f t="shared" si="12"/>
        <v>80.493281250000024</v>
      </c>
      <c r="F31" s="11">
        <f t="shared" si="15"/>
        <v>73.662754969905592</v>
      </c>
      <c r="G31" s="10"/>
      <c r="H31" s="11"/>
      <c r="I31" s="11"/>
      <c r="J31" s="11"/>
      <c r="K31" s="10"/>
      <c r="L31" s="11"/>
      <c r="M31" s="11"/>
      <c r="N31" s="12"/>
    </row>
    <row r="32" spans="1:20" x14ac:dyDescent="0.4">
      <c r="B32" s="1"/>
      <c r="C32" s="10">
        <f t="shared" si="14"/>
        <v>80.493281250000024</v>
      </c>
      <c r="D32" s="39">
        <f t="shared" si="2"/>
        <v>27535.998751170311</v>
      </c>
      <c r="E32" s="11">
        <f t="shared" si="12"/>
        <v>80.493281250000024</v>
      </c>
      <c r="F32" s="11">
        <f t="shared" si="15"/>
        <v>73.662754969905592</v>
      </c>
      <c r="G32" s="10"/>
      <c r="H32" s="11"/>
      <c r="I32" s="11"/>
      <c r="J32" s="11"/>
      <c r="K32" s="10"/>
      <c r="L32" s="11"/>
      <c r="M32" s="11"/>
      <c r="N32" s="12"/>
    </row>
    <row r="33" spans="1:16384" x14ac:dyDescent="0.4">
      <c r="B33" s="1"/>
      <c r="C33" s="10">
        <f t="shared" si="14"/>
        <v>80.493281250000024</v>
      </c>
      <c r="D33" s="39">
        <f t="shared" si="2"/>
        <v>27544.876240288817</v>
      </c>
      <c r="E33" s="11">
        <f t="shared" si="12"/>
        <v>80.493281250000024</v>
      </c>
      <c r="F33" s="11">
        <f t="shared" si="15"/>
        <v>73.662754969905592</v>
      </c>
      <c r="G33" s="10"/>
      <c r="H33" s="11"/>
      <c r="I33" s="11"/>
      <c r="J33" s="11"/>
      <c r="K33" s="10"/>
      <c r="L33" s="11"/>
      <c r="M33" s="11"/>
      <c r="N33" s="12"/>
    </row>
    <row r="34" spans="1:16384" x14ac:dyDescent="0.4">
      <c r="B34" s="1"/>
      <c r="C34" s="10">
        <f t="shared" si="14"/>
        <v>80.493281250000024</v>
      </c>
      <c r="D34" s="39">
        <f t="shared" si="2"/>
        <v>27553.782626636781</v>
      </c>
      <c r="E34" s="11">
        <f t="shared" si="12"/>
        <v>80.493281250000024</v>
      </c>
      <c r="F34" s="11">
        <f t="shared" si="15"/>
        <v>73.662754969905592</v>
      </c>
      <c r="G34" s="10"/>
      <c r="H34" s="11"/>
      <c r="I34" s="11"/>
      <c r="J34" s="11"/>
      <c r="K34" s="10"/>
      <c r="L34" s="11"/>
      <c r="M34" s="11"/>
      <c r="N34" s="12"/>
      <c r="R34" s="11"/>
      <c r="S34" s="11"/>
    </row>
    <row r="35" spans="1:16384" x14ac:dyDescent="0.4">
      <c r="B35" s="1"/>
      <c r="C35" s="10">
        <f t="shared" si="14"/>
        <v>80.493281250000024</v>
      </c>
      <c r="D35" s="39">
        <f t="shared" si="2"/>
        <v>27562.718004277947</v>
      </c>
      <c r="E35" s="11">
        <f t="shared" si="12"/>
        <v>80.493281250000024</v>
      </c>
      <c r="F35" s="11">
        <f t="shared" si="15"/>
        <v>73.662754969905592</v>
      </c>
      <c r="G35" s="10"/>
      <c r="H35" s="11"/>
      <c r="I35" s="11"/>
      <c r="J35" s="11"/>
      <c r="K35" s="10"/>
      <c r="L35" s="11"/>
      <c r="M35" s="11"/>
      <c r="N35" s="12"/>
    </row>
    <row r="36" spans="1:16384" x14ac:dyDescent="0.4">
      <c r="B36" s="1"/>
      <c r="C36" s="10">
        <f t="shared" si="14"/>
        <v>80.493281250000024</v>
      </c>
      <c r="D36" s="39">
        <f t="shared" si="2"/>
        <v>27571.68246758225</v>
      </c>
      <c r="E36" s="11">
        <f t="shared" si="12"/>
        <v>80.493281250000024</v>
      </c>
      <c r="F36" s="11">
        <f t="shared" si="15"/>
        <v>73.662754969905592</v>
      </c>
      <c r="G36" s="10"/>
      <c r="H36" s="11"/>
      <c r="I36" s="11"/>
      <c r="J36" s="11"/>
      <c r="K36" s="10"/>
      <c r="L36" s="11"/>
      <c r="M36" s="11"/>
      <c r="N36" s="12"/>
    </row>
    <row r="37" spans="1:16384" x14ac:dyDescent="0.4">
      <c r="A37" s="11"/>
      <c r="B37" s="11"/>
      <c r="C37" s="10">
        <f t="shared" si="14"/>
        <v>80.493281250000024</v>
      </c>
      <c r="D37" s="39">
        <f t="shared" si="2"/>
        <v>27580.676111226807</v>
      </c>
      <c r="E37" s="11">
        <f t="shared" ref="E37:E38" si="16">MAX(IF(D37&gt;0,C37,C37+D37),0)</f>
        <v>80.493281250000024</v>
      </c>
      <c r="F37" s="11">
        <f t="shared" si="15"/>
        <v>73.662754969905592</v>
      </c>
      <c r="G37" s="11"/>
      <c r="H37" s="11"/>
      <c r="I37" s="11"/>
      <c r="J37" s="11"/>
      <c r="K37" s="11"/>
      <c r="L37" s="11"/>
      <c r="M37" s="11"/>
      <c r="N37" s="11"/>
      <c r="O37" s="11"/>
      <c r="P37" s="11"/>
      <c r="Q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c r="XY37" s="11"/>
      <c r="XZ37" s="11"/>
      <c r="YA37" s="11"/>
      <c r="YB37" s="11"/>
      <c r="YC37" s="11"/>
      <c r="YD37" s="11"/>
      <c r="YE37" s="11"/>
      <c r="YF37" s="11"/>
      <c r="YG37" s="11"/>
      <c r="YH37" s="11"/>
      <c r="YI37" s="11"/>
      <c r="YJ37" s="11"/>
      <c r="YK37" s="11"/>
      <c r="YL37" s="11"/>
      <c r="YM37" s="11"/>
      <c r="YN37" s="11"/>
      <c r="YO37" s="11"/>
      <c r="YP37" s="11"/>
      <c r="YQ37" s="11"/>
      <c r="YR37" s="11"/>
      <c r="YS37" s="11"/>
      <c r="YT37" s="11"/>
      <c r="YU37" s="11"/>
      <c r="YV37" s="11"/>
      <c r="YW37" s="11"/>
      <c r="YX37" s="11"/>
      <c r="YY37" s="11"/>
      <c r="YZ37" s="11"/>
      <c r="ZA37" s="11"/>
      <c r="ZB37" s="11"/>
      <c r="ZC37" s="11"/>
      <c r="ZD37" s="11"/>
      <c r="ZE37" s="11"/>
      <c r="ZF37" s="11"/>
      <c r="ZG37" s="11"/>
      <c r="ZH37" s="11"/>
      <c r="ZI37" s="11"/>
      <c r="ZJ37" s="11"/>
      <c r="ZK37" s="11"/>
      <c r="ZL37" s="11"/>
      <c r="ZM37" s="11"/>
      <c r="ZN37" s="11"/>
      <c r="ZO37" s="11"/>
      <c r="ZP37" s="11"/>
      <c r="ZQ37" s="11"/>
      <c r="ZR37" s="11"/>
      <c r="ZS37" s="11"/>
      <c r="ZT37" s="11"/>
      <c r="ZU37" s="11"/>
      <c r="ZV37" s="11"/>
      <c r="ZW37" s="11"/>
      <c r="ZX37" s="11"/>
      <c r="ZY37" s="11"/>
      <c r="ZZ37" s="11"/>
      <c r="AAA37" s="11"/>
      <c r="AAB37" s="11"/>
      <c r="AAC37" s="11"/>
      <c r="AAD37" s="11"/>
      <c r="AAE37" s="11"/>
      <c r="AAF37" s="11"/>
      <c r="AAG37" s="11"/>
      <c r="AAH37" s="11"/>
      <c r="AAI37" s="11"/>
      <c r="AAJ37" s="11"/>
      <c r="AAK37" s="11"/>
      <c r="AAL37" s="11"/>
      <c r="AAM37" s="11"/>
      <c r="AAN37" s="11"/>
      <c r="AAO37" s="11"/>
      <c r="AAP37" s="11"/>
      <c r="AAQ37" s="11"/>
      <c r="AAR37" s="11"/>
      <c r="AAS37" s="11"/>
      <c r="AAT37" s="11"/>
      <c r="AAU37" s="11"/>
      <c r="AAV37" s="11"/>
      <c r="AAW37" s="11"/>
      <c r="AAX37" s="11"/>
      <c r="AAY37" s="11"/>
      <c r="AAZ37" s="11"/>
      <c r="ABA37" s="11"/>
      <c r="ABB37" s="11"/>
      <c r="ABC37" s="11"/>
      <c r="ABD37" s="11"/>
      <c r="ABE37" s="11"/>
      <c r="ABF37" s="11"/>
      <c r="ABG37" s="11"/>
      <c r="ABH37" s="11"/>
      <c r="ABI37" s="11"/>
      <c r="ABJ37" s="11"/>
      <c r="ABK37" s="11"/>
      <c r="ABL37" s="11"/>
      <c r="ABM37" s="11"/>
      <c r="ABN37" s="11"/>
      <c r="ABO37" s="11"/>
      <c r="ABP37" s="11"/>
      <c r="ABQ37" s="11"/>
      <c r="ABR37" s="11"/>
      <c r="ABS37" s="11"/>
      <c r="ABT37" s="11"/>
      <c r="ABU37" s="11"/>
      <c r="ABV37" s="11"/>
      <c r="ABW37" s="11"/>
      <c r="ABX37" s="11"/>
      <c r="ABY37" s="11"/>
      <c r="ABZ37" s="11"/>
      <c r="ACA37" s="11"/>
      <c r="ACB37" s="11"/>
      <c r="ACC37" s="11"/>
      <c r="ACD37" s="11"/>
      <c r="ACE37" s="11"/>
      <c r="ACF37" s="11"/>
      <c r="ACG37" s="11"/>
      <c r="ACH37" s="11"/>
      <c r="ACI37" s="11"/>
      <c r="ACJ37" s="11"/>
      <c r="ACK37" s="11"/>
      <c r="ACL37" s="11"/>
      <c r="ACM37" s="11"/>
      <c r="ACN37" s="11"/>
      <c r="ACO37" s="11"/>
      <c r="ACP37" s="11"/>
      <c r="ACQ37" s="11"/>
      <c r="ACR37" s="11"/>
      <c r="ACS37" s="11"/>
      <c r="ACT37" s="11"/>
      <c r="ACU37" s="11"/>
      <c r="ACV37" s="11"/>
      <c r="ACW37" s="11"/>
      <c r="ACX37" s="11"/>
      <c r="ACY37" s="11"/>
      <c r="ACZ37" s="11"/>
      <c r="ADA37" s="11"/>
      <c r="ADB37" s="11"/>
      <c r="ADC37" s="11"/>
      <c r="ADD37" s="11"/>
      <c r="ADE37" s="11"/>
      <c r="ADF37" s="11"/>
      <c r="ADG37" s="11"/>
      <c r="ADH37" s="11"/>
      <c r="ADI37" s="11"/>
      <c r="ADJ37" s="11"/>
      <c r="ADK37" s="11"/>
      <c r="ADL37" s="11"/>
      <c r="ADM37" s="11"/>
      <c r="ADN37" s="11"/>
      <c r="ADO37" s="11"/>
      <c r="ADP37" s="11"/>
      <c r="ADQ37" s="11"/>
      <c r="ADR37" s="11"/>
      <c r="ADS37" s="11"/>
      <c r="ADT37" s="11"/>
      <c r="ADU37" s="11"/>
      <c r="ADV37" s="11"/>
      <c r="ADW37" s="11"/>
      <c r="ADX37" s="11"/>
      <c r="ADY37" s="11"/>
      <c r="ADZ37" s="11"/>
      <c r="AEA37" s="11"/>
      <c r="AEB37" s="11"/>
      <c r="AEC37" s="11"/>
      <c r="AED37" s="11"/>
      <c r="AEE37" s="11"/>
      <c r="AEF37" s="11"/>
      <c r="AEG37" s="11"/>
      <c r="AEH37" s="11"/>
      <c r="AEI37" s="11"/>
      <c r="AEJ37" s="11"/>
      <c r="AEK37" s="11"/>
      <c r="AEL37" s="11"/>
      <c r="AEM37" s="11"/>
      <c r="AEN37" s="11"/>
      <c r="AEO37" s="11"/>
      <c r="AEP37" s="11"/>
      <c r="AEQ37" s="11"/>
      <c r="AER37" s="11"/>
      <c r="AES37" s="11"/>
      <c r="AET37" s="11"/>
      <c r="AEU37" s="11"/>
      <c r="AEV37" s="11"/>
      <c r="AEW37" s="11"/>
      <c r="AEX37" s="11"/>
      <c r="AEY37" s="11"/>
      <c r="AEZ37" s="11"/>
      <c r="AFA37" s="11"/>
      <c r="AFB37" s="11"/>
      <c r="AFC37" s="11"/>
      <c r="AFD37" s="11"/>
      <c r="AFE37" s="11"/>
      <c r="AFF37" s="11"/>
      <c r="AFG37" s="11"/>
      <c r="AFH37" s="11"/>
      <c r="AFI37" s="11"/>
      <c r="AFJ37" s="11"/>
      <c r="AFK37" s="11"/>
      <c r="AFL37" s="11"/>
      <c r="AFM37" s="11"/>
      <c r="AFN37" s="11"/>
      <c r="AFO37" s="11"/>
      <c r="AFP37" s="11"/>
      <c r="AFQ37" s="11"/>
      <c r="AFR37" s="11"/>
      <c r="AFS37" s="11"/>
      <c r="AFT37" s="11"/>
      <c r="AFU37" s="11"/>
      <c r="AFV37" s="11"/>
      <c r="AFW37" s="11"/>
      <c r="AFX37" s="11"/>
      <c r="AFY37" s="11"/>
      <c r="AFZ37" s="11"/>
      <c r="AGA37" s="11"/>
      <c r="AGB37" s="11"/>
      <c r="AGC37" s="11"/>
      <c r="AGD37" s="11"/>
      <c r="AGE37" s="11"/>
      <c r="AGF37" s="11"/>
      <c r="AGG37" s="11"/>
      <c r="AGH37" s="11"/>
      <c r="AGI37" s="11"/>
      <c r="AGJ37" s="11"/>
      <c r="AGK37" s="11"/>
      <c r="AGL37" s="11"/>
      <c r="AGM37" s="11"/>
      <c r="AGN37" s="11"/>
      <c r="AGO37" s="11"/>
      <c r="AGP37" s="11"/>
      <c r="AGQ37" s="11"/>
      <c r="AGR37" s="11"/>
      <c r="AGS37" s="11"/>
      <c r="AGT37" s="11"/>
      <c r="AGU37" s="11"/>
      <c r="AGV37" s="11"/>
      <c r="AGW37" s="11"/>
      <c r="AGX37" s="11"/>
      <c r="AGY37" s="11"/>
      <c r="AGZ37" s="11"/>
      <c r="AHA37" s="11"/>
      <c r="AHB37" s="11"/>
      <c r="AHC37" s="11"/>
      <c r="AHD37" s="11"/>
      <c r="AHE37" s="11"/>
      <c r="AHF37" s="11"/>
      <c r="AHG37" s="11"/>
      <c r="AHH37" s="11"/>
      <c r="AHI37" s="11"/>
      <c r="AHJ37" s="11"/>
      <c r="AHK37" s="11"/>
      <c r="AHL37" s="11"/>
      <c r="AHM37" s="11"/>
      <c r="AHN37" s="11"/>
      <c r="AHO37" s="11"/>
      <c r="AHP37" s="11"/>
      <c r="AHQ37" s="11"/>
      <c r="AHR37" s="11"/>
      <c r="AHS37" s="11"/>
      <c r="AHT37" s="11"/>
      <c r="AHU37" s="11"/>
      <c r="AHV37" s="11"/>
      <c r="AHW37" s="11"/>
      <c r="AHX37" s="11"/>
      <c r="AHY37" s="11"/>
      <c r="AHZ37" s="11"/>
      <c r="AIA37" s="11"/>
      <c r="AIB37" s="11"/>
      <c r="AIC37" s="11"/>
      <c r="AID37" s="11"/>
      <c r="AIE37" s="11"/>
      <c r="AIF37" s="11"/>
      <c r="AIG37" s="11"/>
      <c r="AIH37" s="11"/>
      <c r="AII37" s="11"/>
      <c r="AIJ37" s="11"/>
      <c r="AIK37" s="11"/>
      <c r="AIL37" s="11"/>
      <c r="AIM37" s="11"/>
      <c r="AIN37" s="11"/>
      <c r="AIO37" s="11"/>
      <c r="AIP37" s="11"/>
      <c r="AIQ37" s="11"/>
      <c r="AIR37" s="11"/>
      <c r="AIS37" s="11"/>
      <c r="AIT37" s="11"/>
      <c r="AIU37" s="11"/>
      <c r="AIV37" s="11"/>
      <c r="AIW37" s="11"/>
      <c r="AIX37" s="11"/>
      <c r="AIY37" s="11"/>
      <c r="AIZ37" s="11"/>
      <c r="AJA37" s="11"/>
      <c r="AJB37" s="11"/>
      <c r="AJC37" s="11"/>
      <c r="AJD37" s="11"/>
      <c r="AJE37" s="11"/>
      <c r="AJF37" s="11"/>
      <c r="AJG37" s="11"/>
      <c r="AJH37" s="11"/>
      <c r="AJI37" s="11"/>
      <c r="AJJ37" s="11"/>
      <c r="AJK37" s="11"/>
      <c r="AJL37" s="11"/>
      <c r="AJM37" s="11"/>
      <c r="AJN37" s="11"/>
      <c r="AJO37" s="11"/>
      <c r="AJP37" s="11"/>
      <c r="AJQ37" s="11"/>
      <c r="AJR37" s="11"/>
      <c r="AJS37" s="11"/>
      <c r="AJT37" s="11"/>
      <c r="AJU37" s="11"/>
      <c r="AJV37" s="11"/>
      <c r="AJW37" s="11"/>
      <c r="AJX37" s="11"/>
      <c r="AJY37" s="11"/>
      <c r="AJZ37" s="11"/>
      <c r="AKA37" s="11"/>
      <c r="AKB37" s="11"/>
      <c r="AKC37" s="11"/>
      <c r="AKD37" s="11"/>
      <c r="AKE37" s="11"/>
      <c r="AKF37" s="11"/>
      <c r="AKG37" s="11"/>
      <c r="AKH37" s="11"/>
      <c r="AKI37" s="11"/>
      <c r="AKJ37" s="11"/>
      <c r="AKK37" s="11"/>
      <c r="AKL37" s="11"/>
      <c r="AKM37" s="11"/>
      <c r="AKN37" s="11"/>
      <c r="AKO37" s="11"/>
      <c r="AKP37" s="11"/>
      <c r="AKQ37" s="11"/>
      <c r="AKR37" s="11"/>
      <c r="AKS37" s="11"/>
      <c r="AKT37" s="11"/>
      <c r="AKU37" s="11"/>
      <c r="AKV37" s="11"/>
      <c r="AKW37" s="11"/>
      <c r="AKX37" s="11"/>
      <c r="AKY37" s="11"/>
      <c r="AKZ37" s="11"/>
      <c r="ALA37" s="11"/>
      <c r="ALB37" s="11"/>
      <c r="ALC37" s="11"/>
      <c r="ALD37" s="11"/>
      <c r="ALE37" s="11"/>
      <c r="ALF37" s="11"/>
      <c r="ALG37" s="11"/>
      <c r="ALH37" s="11"/>
      <c r="ALI37" s="11"/>
      <c r="ALJ37" s="11"/>
      <c r="ALK37" s="11"/>
      <c r="ALL37" s="11"/>
      <c r="ALM37" s="11"/>
      <c r="ALN37" s="11"/>
      <c r="ALO37" s="11"/>
      <c r="ALP37" s="11"/>
      <c r="ALQ37" s="11"/>
      <c r="ALR37" s="11"/>
      <c r="ALS37" s="11"/>
      <c r="ALT37" s="11"/>
      <c r="ALU37" s="11"/>
      <c r="ALV37" s="11"/>
      <c r="ALW37" s="11"/>
      <c r="ALX37" s="11"/>
      <c r="ALY37" s="11"/>
      <c r="ALZ37" s="11"/>
      <c r="AMA37" s="11"/>
      <c r="AMB37" s="11"/>
      <c r="AMC37" s="11"/>
      <c r="AMD37" s="11"/>
      <c r="AME37" s="11"/>
      <c r="AMF37" s="11"/>
      <c r="AMG37" s="11"/>
      <c r="AMH37" s="11"/>
      <c r="AMI37" s="11"/>
      <c r="AMJ37" s="11"/>
      <c r="AMK37" s="11"/>
      <c r="AML37" s="11"/>
      <c r="AMM37" s="11"/>
      <c r="AMN37" s="11"/>
      <c r="AMO37" s="11"/>
      <c r="AMP37" s="11"/>
      <c r="AMQ37" s="11"/>
      <c r="AMR37" s="11"/>
      <c r="AMS37" s="11"/>
      <c r="AMT37" s="11"/>
      <c r="AMU37" s="11"/>
      <c r="AMV37" s="11"/>
      <c r="AMW37" s="11"/>
      <c r="AMX37" s="11"/>
      <c r="AMY37" s="11"/>
      <c r="AMZ37" s="11"/>
      <c r="ANA37" s="11"/>
      <c r="ANB37" s="11"/>
      <c r="ANC37" s="11"/>
      <c r="AND37" s="11"/>
      <c r="ANE37" s="11"/>
      <c r="ANF37" s="11"/>
      <c r="ANG37" s="11"/>
      <c r="ANH37" s="11"/>
      <c r="ANI37" s="11"/>
      <c r="ANJ37" s="11"/>
      <c r="ANK37" s="11"/>
      <c r="ANL37" s="11"/>
      <c r="ANM37" s="11"/>
      <c r="ANN37" s="11"/>
      <c r="ANO37" s="11"/>
      <c r="ANP37" s="11"/>
      <c r="ANQ37" s="11"/>
      <c r="ANR37" s="11"/>
      <c r="ANS37" s="11"/>
      <c r="ANT37" s="11"/>
      <c r="ANU37" s="11"/>
      <c r="ANV37" s="11"/>
      <c r="ANW37" s="11"/>
      <c r="ANX37" s="11"/>
      <c r="ANY37" s="11"/>
      <c r="ANZ37" s="11"/>
      <c r="AOA37" s="11"/>
      <c r="AOB37" s="11"/>
      <c r="AOC37" s="11"/>
      <c r="AOD37" s="11"/>
      <c r="AOE37" s="11"/>
      <c r="AOF37" s="11"/>
      <c r="AOG37" s="11"/>
      <c r="AOH37" s="11"/>
      <c r="AOI37" s="11"/>
      <c r="AOJ37" s="11"/>
      <c r="AOK37" s="11"/>
      <c r="AOL37" s="11"/>
      <c r="AOM37" s="11"/>
      <c r="AON37" s="11"/>
      <c r="AOO37" s="11"/>
      <c r="AOP37" s="11"/>
      <c r="AOQ37" s="11"/>
      <c r="AOR37" s="11"/>
      <c r="AOS37" s="11"/>
      <c r="AOT37" s="11"/>
      <c r="AOU37" s="11"/>
      <c r="AOV37" s="11"/>
      <c r="AOW37" s="11"/>
      <c r="AOX37" s="11"/>
      <c r="AOY37" s="11"/>
      <c r="AOZ37" s="11"/>
      <c r="APA37" s="11"/>
      <c r="APB37" s="11"/>
      <c r="APC37" s="11"/>
      <c r="APD37" s="11"/>
      <c r="APE37" s="11"/>
      <c r="APF37" s="11"/>
      <c r="APG37" s="11"/>
      <c r="APH37" s="11"/>
      <c r="API37" s="11"/>
      <c r="APJ37" s="11"/>
      <c r="APK37" s="11"/>
      <c r="APL37" s="11"/>
      <c r="APM37" s="11"/>
      <c r="APN37" s="11"/>
      <c r="APO37" s="11"/>
      <c r="APP37" s="11"/>
      <c r="APQ37" s="11"/>
      <c r="APR37" s="11"/>
      <c r="APS37" s="11"/>
      <c r="APT37" s="11"/>
      <c r="APU37" s="11"/>
      <c r="APV37" s="11"/>
      <c r="APW37" s="11"/>
      <c r="APX37" s="11"/>
      <c r="APY37" s="11"/>
      <c r="APZ37" s="11"/>
      <c r="AQA37" s="11"/>
      <c r="AQB37" s="11"/>
      <c r="AQC37" s="11"/>
      <c r="AQD37" s="11"/>
      <c r="AQE37" s="11"/>
      <c r="AQF37" s="11"/>
      <c r="AQG37" s="11"/>
      <c r="AQH37" s="11"/>
      <c r="AQI37" s="11"/>
      <c r="AQJ37" s="11"/>
      <c r="AQK37" s="11"/>
      <c r="AQL37" s="11"/>
      <c r="AQM37" s="11"/>
      <c r="AQN37" s="11"/>
      <c r="AQO37" s="11"/>
      <c r="AQP37" s="11"/>
      <c r="AQQ37" s="11"/>
      <c r="AQR37" s="11"/>
      <c r="AQS37" s="11"/>
      <c r="AQT37" s="11"/>
      <c r="AQU37" s="11"/>
      <c r="AQV37" s="11"/>
      <c r="AQW37" s="11"/>
      <c r="AQX37" s="11"/>
      <c r="AQY37" s="11"/>
      <c r="AQZ37" s="11"/>
      <c r="ARA37" s="11"/>
      <c r="ARB37" s="11"/>
      <c r="ARC37" s="11"/>
      <c r="ARD37" s="11"/>
      <c r="ARE37" s="11"/>
      <c r="ARF37" s="11"/>
      <c r="ARG37" s="11"/>
      <c r="ARH37" s="11"/>
      <c r="ARI37" s="11"/>
      <c r="ARJ37" s="11"/>
      <c r="ARK37" s="11"/>
      <c r="ARL37" s="11"/>
      <c r="ARM37" s="11"/>
      <c r="ARN37" s="11"/>
      <c r="ARO37" s="11"/>
      <c r="ARP37" s="11"/>
      <c r="ARQ37" s="11"/>
      <c r="ARR37" s="11"/>
      <c r="ARS37" s="11"/>
      <c r="ART37" s="11"/>
      <c r="ARU37" s="11"/>
      <c r="ARV37" s="11"/>
      <c r="ARW37" s="11"/>
      <c r="ARX37" s="11"/>
      <c r="ARY37" s="11"/>
      <c r="ARZ37" s="11"/>
      <c r="ASA37" s="11"/>
      <c r="ASB37" s="11"/>
      <c r="ASC37" s="11"/>
      <c r="ASD37" s="11"/>
      <c r="ASE37" s="11"/>
      <c r="ASF37" s="11"/>
      <c r="ASG37" s="11"/>
      <c r="ASH37" s="11"/>
      <c r="ASI37" s="11"/>
      <c r="ASJ37" s="11"/>
      <c r="ASK37" s="11"/>
      <c r="ASL37" s="11"/>
      <c r="ASM37" s="11"/>
      <c r="ASN37" s="11"/>
      <c r="ASO37" s="11"/>
      <c r="ASP37" s="11"/>
      <c r="ASQ37" s="11"/>
      <c r="ASR37" s="11"/>
      <c r="ASS37" s="11"/>
      <c r="AST37" s="11"/>
      <c r="ASU37" s="11"/>
      <c r="ASV37" s="11"/>
      <c r="ASW37" s="11"/>
      <c r="ASX37" s="11"/>
      <c r="ASY37" s="11"/>
      <c r="ASZ37" s="11"/>
      <c r="ATA37" s="11"/>
      <c r="ATB37" s="11"/>
      <c r="ATC37" s="11"/>
      <c r="ATD37" s="11"/>
      <c r="ATE37" s="11"/>
      <c r="ATF37" s="11"/>
      <c r="ATG37" s="11"/>
      <c r="ATH37" s="11"/>
      <c r="ATI37" s="11"/>
      <c r="ATJ37" s="11"/>
      <c r="ATK37" s="11"/>
      <c r="ATL37" s="11"/>
      <c r="ATM37" s="11"/>
      <c r="ATN37" s="11"/>
      <c r="ATO37" s="11"/>
      <c r="ATP37" s="11"/>
      <c r="ATQ37" s="11"/>
      <c r="ATR37" s="11"/>
      <c r="ATS37" s="11"/>
      <c r="ATT37" s="11"/>
      <c r="ATU37" s="11"/>
      <c r="ATV37" s="11"/>
      <c r="ATW37" s="11"/>
      <c r="ATX37" s="11"/>
      <c r="ATY37" s="11"/>
      <c r="ATZ37" s="11"/>
      <c r="AUA37" s="11"/>
      <c r="AUB37" s="11"/>
      <c r="AUC37" s="11"/>
      <c r="AUD37" s="11"/>
      <c r="AUE37" s="11"/>
      <c r="AUF37" s="11"/>
      <c r="AUG37" s="11"/>
      <c r="AUH37" s="11"/>
      <c r="AUI37" s="11"/>
      <c r="AUJ37" s="11"/>
      <c r="AUK37" s="11"/>
      <c r="AUL37" s="11"/>
      <c r="AUM37" s="11"/>
      <c r="AUN37" s="11"/>
      <c r="AUO37" s="11"/>
      <c r="AUP37" s="11"/>
      <c r="AUQ37" s="11"/>
      <c r="AUR37" s="11"/>
      <c r="AUS37" s="11"/>
      <c r="AUT37" s="11"/>
      <c r="AUU37" s="11"/>
      <c r="AUV37" s="11"/>
      <c r="AUW37" s="11"/>
      <c r="AUX37" s="11"/>
      <c r="AUY37" s="11"/>
      <c r="AUZ37" s="11"/>
      <c r="AVA37" s="11"/>
      <c r="AVB37" s="11"/>
      <c r="AVC37" s="11"/>
      <c r="AVD37" s="11"/>
      <c r="AVE37" s="11"/>
      <c r="AVF37" s="11"/>
      <c r="AVG37" s="11"/>
      <c r="AVH37" s="11"/>
      <c r="AVI37" s="11"/>
      <c r="AVJ37" s="11"/>
      <c r="AVK37" s="11"/>
      <c r="AVL37" s="11"/>
      <c r="AVM37" s="11"/>
      <c r="AVN37" s="11"/>
      <c r="AVO37" s="11"/>
      <c r="AVP37" s="11"/>
      <c r="AVQ37" s="11"/>
      <c r="AVR37" s="11"/>
      <c r="AVS37" s="11"/>
      <c r="AVT37" s="11"/>
      <c r="AVU37" s="11"/>
      <c r="AVV37" s="11"/>
      <c r="AVW37" s="11"/>
      <c r="AVX37" s="11"/>
      <c r="AVY37" s="11"/>
      <c r="AVZ37" s="11"/>
      <c r="AWA37" s="11"/>
      <c r="AWB37" s="11"/>
      <c r="AWC37" s="11"/>
      <c r="AWD37" s="11"/>
      <c r="AWE37" s="11"/>
      <c r="AWF37" s="11"/>
      <c r="AWG37" s="11"/>
      <c r="AWH37" s="11"/>
      <c r="AWI37" s="11"/>
      <c r="AWJ37" s="11"/>
      <c r="AWK37" s="11"/>
      <c r="AWL37" s="11"/>
      <c r="AWM37" s="11"/>
      <c r="AWN37" s="11"/>
      <c r="AWO37" s="11"/>
      <c r="AWP37" s="11"/>
      <c r="AWQ37" s="11"/>
      <c r="AWR37" s="11"/>
      <c r="AWS37" s="11"/>
      <c r="AWT37" s="11"/>
      <c r="AWU37" s="11"/>
      <c r="AWV37" s="11"/>
      <c r="AWW37" s="11"/>
      <c r="AWX37" s="11"/>
      <c r="AWY37" s="11"/>
      <c r="AWZ37" s="11"/>
      <c r="AXA37" s="11"/>
      <c r="AXB37" s="11"/>
      <c r="AXC37" s="11"/>
      <c r="AXD37" s="11"/>
      <c r="AXE37" s="11"/>
      <c r="AXF37" s="11"/>
      <c r="AXG37" s="11"/>
      <c r="AXH37" s="11"/>
      <c r="AXI37" s="11"/>
      <c r="AXJ37" s="11"/>
      <c r="AXK37" s="11"/>
      <c r="AXL37" s="11"/>
      <c r="AXM37" s="11"/>
      <c r="AXN37" s="11"/>
      <c r="AXO37" s="11"/>
      <c r="AXP37" s="11"/>
      <c r="AXQ37" s="11"/>
      <c r="AXR37" s="11"/>
      <c r="AXS37" s="11"/>
      <c r="AXT37" s="11"/>
      <c r="AXU37" s="11"/>
      <c r="AXV37" s="11"/>
      <c r="AXW37" s="11"/>
      <c r="AXX37" s="11"/>
      <c r="AXY37" s="11"/>
      <c r="AXZ37" s="11"/>
      <c r="AYA37" s="11"/>
      <c r="AYB37" s="11"/>
      <c r="AYC37" s="11"/>
      <c r="AYD37" s="11"/>
      <c r="AYE37" s="11"/>
      <c r="AYF37" s="11"/>
      <c r="AYG37" s="11"/>
      <c r="AYH37" s="11"/>
      <c r="AYI37" s="11"/>
      <c r="AYJ37" s="11"/>
      <c r="AYK37" s="11"/>
      <c r="AYL37" s="11"/>
      <c r="AYM37" s="11"/>
      <c r="AYN37" s="11"/>
      <c r="AYO37" s="11"/>
      <c r="AYP37" s="11"/>
      <c r="AYQ37" s="11"/>
      <c r="AYR37" s="11"/>
      <c r="AYS37" s="11"/>
      <c r="AYT37" s="11"/>
      <c r="AYU37" s="11"/>
      <c r="AYV37" s="11"/>
      <c r="AYW37" s="11"/>
      <c r="AYX37" s="11"/>
      <c r="AYY37" s="11"/>
      <c r="AYZ37" s="11"/>
      <c r="AZA37" s="11"/>
      <c r="AZB37" s="11"/>
      <c r="AZC37" s="11"/>
      <c r="AZD37" s="11"/>
      <c r="AZE37" s="11"/>
      <c r="AZF37" s="11"/>
      <c r="AZG37" s="11"/>
      <c r="AZH37" s="11"/>
      <c r="AZI37" s="11"/>
      <c r="AZJ37" s="11"/>
      <c r="AZK37" s="11"/>
      <c r="AZL37" s="11"/>
      <c r="AZM37" s="11"/>
      <c r="AZN37" s="11"/>
      <c r="AZO37" s="11"/>
      <c r="AZP37" s="11"/>
      <c r="AZQ37" s="11"/>
      <c r="AZR37" s="11"/>
      <c r="AZS37" s="11"/>
      <c r="AZT37" s="11"/>
      <c r="AZU37" s="11"/>
      <c r="AZV37" s="11"/>
      <c r="AZW37" s="11"/>
      <c r="AZX37" s="11"/>
      <c r="AZY37" s="11"/>
      <c r="AZZ37" s="11"/>
      <c r="BAA37" s="11"/>
      <c r="BAB37" s="11"/>
      <c r="BAC37" s="11"/>
      <c r="BAD37" s="11"/>
      <c r="BAE37" s="11"/>
      <c r="BAF37" s="11"/>
      <c r="BAG37" s="11"/>
      <c r="BAH37" s="11"/>
      <c r="BAI37" s="11"/>
      <c r="BAJ37" s="11"/>
      <c r="BAK37" s="11"/>
      <c r="BAL37" s="11"/>
      <c r="BAM37" s="11"/>
      <c r="BAN37" s="11"/>
      <c r="BAO37" s="11"/>
      <c r="BAP37" s="11"/>
      <c r="BAQ37" s="11"/>
      <c r="BAR37" s="11"/>
      <c r="BAS37" s="11"/>
      <c r="BAT37" s="11"/>
      <c r="BAU37" s="11"/>
      <c r="BAV37" s="11"/>
      <c r="BAW37" s="11"/>
      <c r="BAX37" s="11"/>
      <c r="BAY37" s="11"/>
      <c r="BAZ37" s="11"/>
      <c r="BBA37" s="11"/>
      <c r="BBB37" s="11"/>
      <c r="BBC37" s="11"/>
      <c r="BBD37" s="11"/>
      <c r="BBE37" s="11"/>
      <c r="BBF37" s="11"/>
      <c r="BBG37" s="11"/>
      <c r="BBH37" s="11"/>
      <c r="BBI37" s="11"/>
      <c r="BBJ37" s="11"/>
      <c r="BBK37" s="11"/>
      <c r="BBL37" s="11"/>
      <c r="BBM37" s="11"/>
      <c r="BBN37" s="11"/>
      <c r="BBO37" s="11"/>
      <c r="BBP37" s="11"/>
      <c r="BBQ37" s="11"/>
      <c r="BBR37" s="11"/>
      <c r="BBS37" s="11"/>
      <c r="BBT37" s="11"/>
      <c r="BBU37" s="11"/>
      <c r="BBV37" s="11"/>
      <c r="BBW37" s="11"/>
      <c r="BBX37" s="11"/>
      <c r="BBY37" s="11"/>
      <c r="BBZ37" s="11"/>
      <c r="BCA37" s="11"/>
      <c r="BCB37" s="11"/>
      <c r="BCC37" s="11"/>
      <c r="BCD37" s="11"/>
      <c r="BCE37" s="11"/>
      <c r="BCF37" s="11"/>
      <c r="BCG37" s="11"/>
      <c r="BCH37" s="11"/>
      <c r="BCI37" s="11"/>
      <c r="BCJ37" s="11"/>
      <c r="BCK37" s="11"/>
      <c r="BCL37" s="11"/>
      <c r="BCM37" s="11"/>
      <c r="BCN37" s="11"/>
      <c r="BCO37" s="11"/>
      <c r="BCP37" s="11"/>
      <c r="BCQ37" s="11"/>
      <c r="BCR37" s="11"/>
      <c r="BCS37" s="11"/>
      <c r="BCT37" s="11"/>
      <c r="BCU37" s="11"/>
      <c r="BCV37" s="11"/>
      <c r="BCW37" s="11"/>
      <c r="BCX37" s="11"/>
      <c r="BCY37" s="11"/>
      <c r="BCZ37" s="11"/>
      <c r="BDA37" s="11"/>
      <c r="BDB37" s="11"/>
      <c r="BDC37" s="11"/>
      <c r="BDD37" s="11"/>
      <c r="BDE37" s="11"/>
      <c r="BDF37" s="11"/>
      <c r="BDG37" s="11"/>
      <c r="BDH37" s="11"/>
      <c r="BDI37" s="11"/>
      <c r="BDJ37" s="11"/>
      <c r="BDK37" s="11"/>
      <c r="BDL37" s="11"/>
      <c r="BDM37" s="11"/>
      <c r="BDN37" s="11"/>
      <c r="BDO37" s="11"/>
      <c r="BDP37" s="11"/>
      <c r="BDQ37" s="11"/>
      <c r="BDR37" s="11"/>
      <c r="BDS37" s="11"/>
      <c r="BDT37" s="11"/>
      <c r="BDU37" s="11"/>
      <c r="BDV37" s="11"/>
      <c r="BDW37" s="11"/>
      <c r="BDX37" s="11"/>
      <c r="BDY37" s="11"/>
      <c r="BDZ37" s="11"/>
      <c r="BEA37" s="11"/>
      <c r="BEB37" s="11"/>
      <c r="BEC37" s="11"/>
      <c r="BED37" s="11"/>
      <c r="BEE37" s="11"/>
      <c r="BEF37" s="11"/>
      <c r="BEG37" s="11"/>
      <c r="BEH37" s="11"/>
      <c r="BEI37" s="11"/>
      <c r="BEJ37" s="11"/>
      <c r="BEK37" s="11"/>
      <c r="BEL37" s="11"/>
      <c r="BEM37" s="11"/>
      <c r="BEN37" s="11"/>
      <c r="BEO37" s="11"/>
      <c r="BEP37" s="11"/>
      <c r="BEQ37" s="11"/>
      <c r="BER37" s="11"/>
      <c r="BES37" s="11"/>
      <c r="BET37" s="11"/>
      <c r="BEU37" s="11"/>
      <c r="BEV37" s="11"/>
      <c r="BEW37" s="11"/>
      <c r="BEX37" s="11"/>
      <c r="BEY37" s="11"/>
      <c r="BEZ37" s="11"/>
      <c r="BFA37" s="11"/>
      <c r="BFB37" s="11"/>
      <c r="BFC37" s="11"/>
      <c r="BFD37" s="11"/>
      <c r="BFE37" s="11"/>
      <c r="BFF37" s="11"/>
      <c r="BFG37" s="11"/>
      <c r="BFH37" s="11"/>
      <c r="BFI37" s="11"/>
      <c r="BFJ37" s="11"/>
      <c r="BFK37" s="11"/>
      <c r="BFL37" s="11"/>
      <c r="BFM37" s="11"/>
      <c r="BFN37" s="11"/>
      <c r="BFO37" s="11"/>
      <c r="BFP37" s="11"/>
      <c r="BFQ37" s="11"/>
      <c r="BFR37" s="11"/>
      <c r="BFS37" s="11"/>
      <c r="BFT37" s="11"/>
      <c r="BFU37" s="11"/>
      <c r="BFV37" s="11"/>
      <c r="BFW37" s="11"/>
      <c r="BFX37" s="11"/>
      <c r="BFY37" s="11"/>
      <c r="BFZ37" s="11"/>
      <c r="BGA37" s="11"/>
      <c r="BGB37" s="11"/>
      <c r="BGC37" s="11"/>
      <c r="BGD37" s="11"/>
      <c r="BGE37" s="11"/>
      <c r="BGF37" s="11"/>
      <c r="BGG37" s="11"/>
      <c r="BGH37" s="11"/>
      <c r="BGI37" s="11"/>
      <c r="BGJ37" s="11"/>
      <c r="BGK37" s="11"/>
      <c r="BGL37" s="11"/>
      <c r="BGM37" s="11"/>
      <c r="BGN37" s="11"/>
      <c r="BGO37" s="11"/>
      <c r="BGP37" s="11"/>
      <c r="BGQ37" s="11"/>
      <c r="BGR37" s="11"/>
      <c r="BGS37" s="11"/>
      <c r="BGT37" s="11"/>
      <c r="BGU37" s="11"/>
      <c r="BGV37" s="11"/>
      <c r="BGW37" s="11"/>
      <c r="BGX37" s="11"/>
      <c r="BGY37" s="11"/>
      <c r="BGZ37" s="11"/>
      <c r="BHA37" s="11"/>
      <c r="BHB37" s="11"/>
      <c r="BHC37" s="11"/>
      <c r="BHD37" s="11"/>
      <c r="BHE37" s="11"/>
      <c r="BHF37" s="11"/>
      <c r="BHG37" s="11"/>
      <c r="BHH37" s="11"/>
      <c r="BHI37" s="11"/>
      <c r="BHJ37" s="11"/>
      <c r="BHK37" s="11"/>
      <c r="BHL37" s="11"/>
      <c r="BHM37" s="11"/>
      <c r="BHN37" s="11"/>
      <c r="BHO37" s="11"/>
      <c r="BHP37" s="11"/>
      <c r="BHQ37" s="11"/>
      <c r="BHR37" s="11"/>
      <c r="BHS37" s="11"/>
      <c r="BHT37" s="11"/>
      <c r="BHU37" s="11"/>
      <c r="BHV37" s="11"/>
      <c r="BHW37" s="11"/>
      <c r="BHX37" s="11"/>
      <c r="BHY37" s="11"/>
      <c r="BHZ37" s="11"/>
      <c r="BIA37" s="11"/>
      <c r="BIB37" s="11"/>
      <c r="BIC37" s="11"/>
      <c r="BID37" s="11"/>
      <c r="BIE37" s="11"/>
      <c r="BIF37" s="11"/>
      <c r="BIG37" s="11"/>
      <c r="BIH37" s="11"/>
      <c r="BII37" s="11"/>
      <c r="BIJ37" s="11"/>
      <c r="BIK37" s="11"/>
      <c r="BIL37" s="11"/>
      <c r="BIM37" s="11"/>
      <c r="BIN37" s="11"/>
      <c r="BIO37" s="11"/>
      <c r="BIP37" s="11"/>
      <c r="BIQ37" s="11"/>
      <c r="BIR37" s="11"/>
      <c r="BIS37" s="11"/>
      <c r="BIT37" s="11"/>
      <c r="BIU37" s="11"/>
      <c r="BIV37" s="11"/>
      <c r="BIW37" s="11"/>
      <c r="BIX37" s="11"/>
      <c r="BIY37" s="11"/>
      <c r="BIZ37" s="11"/>
      <c r="BJA37" s="11"/>
      <c r="BJB37" s="11"/>
      <c r="BJC37" s="11"/>
      <c r="BJD37" s="11"/>
      <c r="BJE37" s="11"/>
      <c r="BJF37" s="11"/>
      <c r="BJG37" s="11"/>
      <c r="BJH37" s="11"/>
      <c r="BJI37" s="11"/>
      <c r="BJJ37" s="11"/>
      <c r="BJK37" s="11"/>
      <c r="BJL37" s="11"/>
      <c r="BJM37" s="11"/>
      <c r="BJN37" s="11"/>
      <c r="BJO37" s="11"/>
      <c r="BJP37" s="11"/>
      <c r="BJQ37" s="11"/>
      <c r="BJR37" s="11"/>
      <c r="BJS37" s="11"/>
      <c r="BJT37" s="11"/>
      <c r="BJU37" s="11"/>
      <c r="BJV37" s="11"/>
      <c r="BJW37" s="11"/>
      <c r="BJX37" s="11"/>
      <c r="BJY37" s="11"/>
      <c r="BJZ37" s="11"/>
      <c r="BKA37" s="11"/>
      <c r="BKB37" s="11"/>
      <c r="BKC37" s="11"/>
      <c r="BKD37" s="11"/>
      <c r="BKE37" s="11"/>
      <c r="BKF37" s="11"/>
      <c r="BKG37" s="11"/>
      <c r="BKH37" s="11"/>
      <c r="BKI37" s="11"/>
      <c r="BKJ37" s="11"/>
      <c r="BKK37" s="11"/>
      <c r="BKL37" s="11"/>
      <c r="BKM37" s="11"/>
      <c r="BKN37" s="11"/>
      <c r="BKO37" s="11"/>
      <c r="BKP37" s="11"/>
      <c r="BKQ37" s="11"/>
      <c r="BKR37" s="11"/>
      <c r="BKS37" s="11"/>
      <c r="BKT37" s="11"/>
      <c r="BKU37" s="11"/>
      <c r="BKV37" s="11"/>
      <c r="BKW37" s="11"/>
      <c r="BKX37" s="11"/>
      <c r="BKY37" s="11"/>
      <c r="BKZ37" s="11"/>
      <c r="BLA37" s="11"/>
      <c r="BLB37" s="11"/>
      <c r="BLC37" s="11"/>
      <c r="BLD37" s="11"/>
      <c r="BLE37" s="11"/>
      <c r="BLF37" s="11"/>
      <c r="BLG37" s="11"/>
      <c r="BLH37" s="11"/>
      <c r="BLI37" s="11"/>
      <c r="BLJ37" s="11"/>
      <c r="BLK37" s="11"/>
      <c r="BLL37" s="11"/>
      <c r="BLM37" s="11"/>
      <c r="BLN37" s="11"/>
      <c r="BLO37" s="11"/>
      <c r="BLP37" s="11"/>
      <c r="BLQ37" s="11"/>
      <c r="BLR37" s="11"/>
      <c r="BLS37" s="11"/>
      <c r="BLT37" s="11"/>
      <c r="BLU37" s="11"/>
      <c r="BLV37" s="11"/>
      <c r="BLW37" s="11"/>
      <c r="BLX37" s="11"/>
      <c r="BLY37" s="11"/>
      <c r="BLZ37" s="11"/>
      <c r="BMA37" s="11"/>
      <c r="BMB37" s="11"/>
      <c r="BMC37" s="11"/>
      <c r="BMD37" s="11"/>
      <c r="BME37" s="11"/>
      <c r="BMF37" s="11"/>
      <c r="BMG37" s="11"/>
      <c r="BMH37" s="11"/>
      <c r="BMI37" s="11"/>
      <c r="BMJ37" s="11"/>
      <c r="BMK37" s="11"/>
      <c r="BML37" s="11"/>
      <c r="BMM37" s="11"/>
      <c r="BMN37" s="11"/>
      <c r="BMO37" s="11"/>
      <c r="BMP37" s="11"/>
      <c r="BMQ37" s="11"/>
      <c r="BMR37" s="11"/>
      <c r="BMS37" s="11"/>
      <c r="BMT37" s="11"/>
      <c r="BMU37" s="11"/>
      <c r="BMV37" s="11"/>
      <c r="BMW37" s="11"/>
      <c r="BMX37" s="11"/>
      <c r="BMY37" s="11"/>
      <c r="BMZ37" s="11"/>
      <c r="BNA37" s="11"/>
      <c r="BNB37" s="11"/>
      <c r="BNC37" s="11"/>
      <c r="BND37" s="11"/>
      <c r="BNE37" s="11"/>
      <c r="BNF37" s="11"/>
      <c r="BNG37" s="11"/>
      <c r="BNH37" s="11"/>
      <c r="BNI37" s="11"/>
      <c r="BNJ37" s="11"/>
      <c r="BNK37" s="11"/>
      <c r="BNL37" s="11"/>
      <c r="BNM37" s="11"/>
      <c r="BNN37" s="11"/>
      <c r="BNO37" s="11"/>
      <c r="BNP37" s="11"/>
      <c r="BNQ37" s="11"/>
      <c r="BNR37" s="11"/>
      <c r="BNS37" s="11"/>
      <c r="BNT37" s="11"/>
      <c r="BNU37" s="11"/>
      <c r="BNV37" s="11"/>
      <c r="BNW37" s="11"/>
      <c r="BNX37" s="11"/>
      <c r="BNY37" s="11"/>
      <c r="BNZ37" s="11"/>
      <c r="BOA37" s="11"/>
      <c r="BOB37" s="11"/>
      <c r="BOC37" s="11"/>
      <c r="BOD37" s="11"/>
      <c r="BOE37" s="11"/>
      <c r="BOF37" s="11"/>
      <c r="BOG37" s="11"/>
      <c r="BOH37" s="11"/>
      <c r="BOI37" s="11"/>
      <c r="BOJ37" s="11"/>
      <c r="BOK37" s="11"/>
      <c r="BOL37" s="11"/>
      <c r="BOM37" s="11"/>
      <c r="BON37" s="11"/>
      <c r="BOO37" s="11"/>
      <c r="BOP37" s="11"/>
      <c r="BOQ37" s="11"/>
      <c r="BOR37" s="11"/>
      <c r="BOS37" s="11"/>
      <c r="BOT37" s="11"/>
      <c r="BOU37" s="11"/>
      <c r="BOV37" s="11"/>
      <c r="BOW37" s="11"/>
      <c r="BOX37" s="11"/>
      <c r="BOY37" s="11"/>
      <c r="BOZ37" s="11"/>
      <c r="BPA37" s="11"/>
      <c r="BPB37" s="11"/>
      <c r="BPC37" s="11"/>
      <c r="BPD37" s="11"/>
      <c r="BPE37" s="11"/>
      <c r="BPF37" s="11"/>
      <c r="BPG37" s="11"/>
      <c r="BPH37" s="11"/>
      <c r="BPI37" s="11"/>
      <c r="BPJ37" s="11"/>
      <c r="BPK37" s="11"/>
      <c r="BPL37" s="11"/>
      <c r="BPM37" s="11"/>
      <c r="BPN37" s="11"/>
      <c r="BPO37" s="11"/>
      <c r="BPP37" s="11"/>
      <c r="BPQ37" s="11"/>
      <c r="BPR37" s="11"/>
      <c r="BPS37" s="11"/>
      <c r="BPT37" s="11"/>
      <c r="BPU37" s="11"/>
      <c r="BPV37" s="11"/>
      <c r="BPW37" s="11"/>
      <c r="BPX37" s="11"/>
      <c r="BPY37" s="11"/>
      <c r="BPZ37" s="11"/>
      <c r="BQA37" s="11"/>
      <c r="BQB37" s="11"/>
      <c r="BQC37" s="11"/>
      <c r="BQD37" s="11"/>
      <c r="BQE37" s="11"/>
      <c r="BQF37" s="11"/>
      <c r="BQG37" s="11"/>
      <c r="BQH37" s="11"/>
      <c r="BQI37" s="11"/>
      <c r="BQJ37" s="11"/>
      <c r="BQK37" s="11"/>
      <c r="BQL37" s="11"/>
      <c r="BQM37" s="11"/>
      <c r="BQN37" s="11"/>
      <c r="BQO37" s="11"/>
      <c r="BQP37" s="11"/>
      <c r="BQQ37" s="11"/>
      <c r="BQR37" s="11"/>
      <c r="BQS37" s="11"/>
      <c r="BQT37" s="11"/>
      <c r="BQU37" s="11"/>
      <c r="BQV37" s="11"/>
      <c r="BQW37" s="11"/>
      <c r="BQX37" s="11"/>
      <c r="BQY37" s="11"/>
      <c r="BQZ37" s="11"/>
      <c r="BRA37" s="11"/>
      <c r="BRB37" s="11"/>
      <c r="BRC37" s="11"/>
      <c r="BRD37" s="11"/>
      <c r="BRE37" s="11"/>
      <c r="BRF37" s="11"/>
      <c r="BRG37" s="11"/>
      <c r="BRH37" s="11"/>
      <c r="BRI37" s="11"/>
      <c r="BRJ37" s="11"/>
      <c r="BRK37" s="11"/>
      <c r="BRL37" s="11"/>
      <c r="BRM37" s="11"/>
      <c r="BRN37" s="11"/>
      <c r="BRO37" s="11"/>
      <c r="BRP37" s="11"/>
      <c r="BRQ37" s="11"/>
      <c r="BRR37" s="11"/>
      <c r="BRS37" s="11"/>
      <c r="BRT37" s="11"/>
      <c r="BRU37" s="11"/>
      <c r="BRV37" s="11"/>
      <c r="BRW37" s="11"/>
      <c r="BRX37" s="11"/>
      <c r="BRY37" s="11"/>
      <c r="BRZ37" s="11"/>
      <c r="BSA37" s="11"/>
      <c r="BSB37" s="11"/>
      <c r="BSC37" s="11"/>
      <c r="BSD37" s="11"/>
      <c r="BSE37" s="11"/>
      <c r="BSF37" s="11"/>
      <c r="BSG37" s="11"/>
      <c r="BSH37" s="11"/>
      <c r="BSI37" s="11"/>
      <c r="BSJ37" s="11"/>
      <c r="BSK37" s="11"/>
      <c r="BSL37" s="11"/>
      <c r="BSM37" s="11"/>
      <c r="BSN37" s="11"/>
      <c r="BSO37" s="11"/>
      <c r="BSP37" s="11"/>
      <c r="BSQ37" s="11"/>
      <c r="BSR37" s="11"/>
      <c r="BSS37" s="11"/>
      <c r="BST37" s="11"/>
      <c r="BSU37" s="11"/>
      <c r="BSV37" s="11"/>
      <c r="BSW37" s="11"/>
      <c r="BSX37" s="11"/>
      <c r="BSY37" s="11"/>
      <c r="BSZ37" s="11"/>
      <c r="BTA37" s="11"/>
      <c r="BTB37" s="11"/>
      <c r="BTC37" s="11"/>
      <c r="BTD37" s="11"/>
      <c r="BTE37" s="11"/>
      <c r="BTF37" s="11"/>
      <c r="BTG37" s="11"/>
      <c r="BTH37" s="11"/>
      <c r="BTI37" s="11"/>
      <c r="BTJ37" s="11"/>
      <c r="BTK37" s="11"/>
      <c r="BTL37" s="11"/>
      <c r="BTM37" s="11"/>
      <c r="BTN37" s="11"/>
      <c r="BTO37" s="11"/>
      <c r="BTP37" s="11"/>
      <c r="BTQ37" s="11"/>
      <c r="BTR37" s="11"/>
      <c r="BTS37" s="11"/>
      <c r="BTT37" s="11"/>
      <c r="BTU37" s="11"/>
      <c r="BTV37" s="11"/>
      <c r="BTW37" s="11"/>
      <c r="BTX37" s="11"/>
      <c r="BTY37" s="11"/>
      <c r="BTZ37" s="11"/>
      <c r="BUA37" s="11"/>
      <c r="BUB37" s="11"/>
      <c r="BUC37" s="11"/>
      <c r="BUD37" s="11"/>
      <c r="BUE37" s="11"/>
      <c r="BUF37" s="11"/>
      <c r="BUG37" s="11"/>
      <c r="BUH37" s="11"/>
      <c r="BUI37" s="11"/>
      <c r="BUJ37" s="11"/>
      <c r="BUK37" s="11"/>
      <c r="BUL37" s="11"/>
      <c r="BUM37" s="11"/>
      <c r="BUN37" s="11"/>
      <c r="BUO37" s="11"/>
      <c r="BUP37" s="11"/>
      <c r="BUQ37" s="11"/>
      <c r="BUR37" s="11"/>
      <c r="BUS37" s="11"/>
      <c r="BUT37" s="11"/>
      <c r="BUU37" s="11"/>
      <c r="BUV37" s="11"/>
      <c r="BUW37" s="11"/>
      <c r="BUX37" s="11"/>
      <c r="BUY37" s="11"/>
      <c r="BUZ37" s="11"/>
      <c r="BVA37" s="11"/>
      <c r="BVB37" s="11"/>
      <c r="BVC37" s="11"/>
      <c r="BVD37" s="11"/>
      <c r="BVE37" s="11"/>
      <c r="BVF37" s="11"/>
      <c r="BVG37" s="11"/>
      <c r="BVH37" s="11"/>
      <c r="BVI37" s="11"/>
      <c r="BVJ37" s="11"/>
      <c r="BVK37" s="11"/>
      <c r="BVL37" s="11"/>
      <c r="BVM37" s="11"/>
      <c r="BVN37" s="11"/>
      <c r="BVO37" s="11"/>
      <c r="BVP37" s="11"/>
      <c r="BVQ37" s="11"/>
      <c r="BVR37" s="11"/>
      <c r="BVS37" s="11"/>
      <c r="BVT37" s="11"/>
      <c r="BVU37" s="11"/>
      <c r="BVV37" s="11"/>
      <c r="BVW37" s="11"/>
      <c r="BVX37" s="11"/>
      <c r="BVY37" s="11"/>
      <c r="BVZ37" s="11"/>
      <c r="BWA37" s="11"/>
      <c r="BWB37" s="11"/>
      <c r="BWC37" s="11"/>
      <c r="BWD37" s="11"/>
      <c r="BWE37" s="11"/>
      <c r="BWF37" s="11"/>
      <c r="BWG37" s="11"/>
      <c r="BWH37" s="11"/>
      <c r="BWI37" s="11"/>
      <c r="BWJ37" s="11"/>
      <c r="BWK37" s="11"/>
      <c r="BWL37" s="11"/>
      <c r="BWM37" s="11"/>
      <c r="BWN37" s="11"/>
      <c r="BWO37" s="11"/>
      <c r="BWP37" s="11"/>
      <c r="BWQ37" s="11"/>
      <c r="BWR37" s="11"/>
      <c r="BWS37" s="11"/>
      <c r="BWT37" s="11"/>
      <c r="BWU37" s="11"/>
      <c r="BWV37" s="11"/>
      <c r="BWW37" s="11"/>
      <c r="BWX37" s="11"/>
      <c r="BWY37" s="11"/>
      <c r="BWZ37" s="11"/>
      <c r="BXA37" s="11"/>
      <c r="BXB37" s="11"/>
      <c r="BXC37" s="11"/>
      <c r="BXD37" s="11"/>
      <c r="BXE37" s="11"/>
      <c r="BXF37" s="11"/>
      <c r="BXG37" s="11"/>
      <c r="BXH37" s="11"/>
      <c r="BXI37" s="11"/>
      <c r="BXJ37" s="11"/>
      <c r="BXK37" s="11"/>
      <c r="BXL37" s="11"/>
      <c r="BXM37" s="11"/>
      <c r="BXN37" s="11"/>
      <c r="BXO37" s="11"/>
      <c r="BXP37" s="11"/>
      <c r="BXQ37" s="11"/>
      <c r="BXR37" s="11"/>
      <c r="BXS37" s="11"/>
      <c r="BXT37" s="11"/>
      <c r="BXU37" s="11"/>
      <c r="BXV37" s="11"/>
      <c r="BXW37" s="11"/>
      <c r="BXX37" s="11"/>
      <c r="BXY37" s="11"/>
      <c r="BXZ37" s="11"/>
      <c r="BYA37" s="11"/>
      <c r="BYB37" s="11"/>
      <c r="BYC37" s="11"/>
      <c r="BYD37" s="11"/>
      <c r="BYE37" s="11"/>
      <c r="BYF37" s="11"/>
      <c r="BYG37" s="11"/>
      <c r="BYH37" s="11"/>
      <c r="BYI37" s="11"/>
      <c r="BYJ37" s="11"/>
      <c r="BYK37" s="11"/>
      <c r="BYL37" s="11"/>
      <c r="BYM37" s="11"/>
      <c r="BYN37" s="11"/>
      <c r="BYO37" s="11"/>
      <c r="BYP37" s="11"/>
      <c r="BYQ37" s="11"/>
      <c r="BYR37" s="11"/>
      <c r="BYS37" s="11"/>
      <c r="BYT37" s="11"/>
      <c r="BYU37" s="11"/>
      <c r="BYV37" s="11"/>
      <c r="BYW37" s="11"/>
      <c r="BYX37" s="11"/>
      <c r="BYY37" s="11"/>
      <c r="BYZ37" s="11"/>
      <c r="BZA37" s="11"/>
      <c r="BZB37" s="11"/>
      <c r="BZC37" s="11"/>
      <c r="BZD37" s="11"/>
      <c r="BZE37" s="11"/>
      <c r="BZF37" s="11"/>
      <c r="BZG37" s="11"/>
      <c r="BZH37" s="11"/>
      <c r="BZI37" s="11"/>
      <c r="BZJ37" s="11"/>
      <c r="BZK37" s="11"/>
      <c r="BZL37" s="11"/>
      <c r="BZM37" s="11"/>
      <c r="BZN37" s="11"/>
      <c r="BZO37" s="11"/>
      <c r="BZP37" s="11"/>
      <c r="BZQ37" s="11"/>
      <c r="BZR37" s="11"/>
      <c r="BZS37" s="11"/>
      <c r="BZT37" s="11"/>
      <c r="BZU37" s="11"/>
      <c r="BZV37" s="11"/>
      <c r="BZW37" s="11"/>
      <c r="BZX37" s="11"/>
      <c r="BZY37" s="11"/>
      <c r="BZZ37" s="11"/>
      <c r="CAA37" s="11"/>
      <c r="CAB37" s="11"/>
      <c r="CAC37" s="11"/>
      <c r="CAD37" s="11"/>
      <c r="CAE37" s="11"/>
      <c r="CAF37" s="11"/>
      <c r="CAG37" s="11"/>
      <c r="CAH37" s="11"/>
      <c r="CAI37" s="11"/>
      <c r="CAJ37" s="11"/>
      <c r="CAK37" s="11"/>
      <c r="CAL37" s="11"/>
      <c r="CAM37" s="11"/>
      <c r="CAN37" s="11"/>
      <c r="CAO37" s="11"/>
      <c r="CAP37" s="11"/>
      <c r="CAQ37" s="11"/>
      <c r="CAR37" s="11"/>
      <c r="CAS37" s="11"/>
      <c r="CAT37" s="11"/>
      <c r="CAU37" s="11"/>
      <c r="CAV37" s="11"/>
      <c r="CAW37" s="11"/>
      <c r="CAX37" s="11"/>
      <c r="CAY37" s="11"/>
      <c r="CAZ37" s="11"/>
      <c r="CBA37" s="11"/>
      <c r="CBB37" s="11"/>
      <c r="CBC37" s="11"/>
      <c r="CBD37" s="11"/>
      <c r="CBE37" s="11"/>
      <c r="CBF37" s="11"/>
      <c r="CBG37" s="11"/>
      <c r="CBH37" s="11"/>
      <c r="CBI37" s="11"/>
      <c r="CBJ37" s="11"/>
      <c r="CBK37" s="11"/>
      <c r="CBL37" s="11"/>
      <c r="CBM37" s="11"/>
      <c r="CBN37" s="11"/>
      <c r="CBO37" s="11"/>
      <c r="CBP37" s="11"/>
      <c r="CBQ37" s="11"/>
      <c r="CBR37" s="11"/>
      <c r="CBS37" s="11"/>
      <c r="CBT37" s="11"/>
      <c r="CBU37" s="11"/>
      <c r="CBV37" s="11"/>
      <c r="CBW37" s="11"/>
      <c r="CBX37" s="11"/>
      <c r="CBY37" s="11"/>
      <c r="CBZ37" s="11"/>
      <c r="CCA37" s="11"/>
      <c r="CCB37" s="11"/>
      <c r="CCC37" s="11"/>
      <c r="CCD37" s="11"/>
      <c r="CCE37" s="11"/>
      <c r="CCF37" s="11"/>
      <c r="CCG37" s="11"/>
      <c r="CCH37" s="11"/>
      <c r="CCI37" s="11"/>
      <c r="CCJ37" s="11"/>
      <c r="CCK37" s="11"/>
      <c r="CCL37" s="11"/>
      <c r="CCM37" s="11"/>
      <c r="CCN37" s="11"/>
      <c r="CCO37" s="11"/>
      <c r="CCP37" s="11"/>
      <c r="CCQ37" s="11"/>
      <c r="CCR37" s="11"/>
      <c r="CCS37" s="11"/>
      <c r="CCT37" s="11"/>
      <c r="CCU37" s="11"/>
      <c r="CCV37" s="11"/>
      <c r="CCW37" s="11"/>
      <c r="CCX37" s="11"/>
      <c r="CCY37" s="11"/>
      <c r="CCZ37" s="11"/>
      <c r="CDA37" s="11"/>
      <c r="CDB37" s="11"/>
      <c r="CDC37" s="11"/>
      <c r="CDD37" s="11"/>
      <c r="CDE37" s="11"/>
      <c r="CDF37" s="11"/>
      <c r="CDG37" s="11"/>
      <c r="CDH37" s="11"/>
      <c r="CDI37" s="11"/>
      <c r="CDJ37" s="11"/>
      <c r="CDK37" s="11"/>
      <c r="CDL37" s="11"/>
      <c r="CDM37" s="11"/>
      <c r="CDN37" s="11"/>
      <c r="CDO37" s="11"/>
      <c r="CDP37" s="11"/>
      <c r="CDQ37" s="11"/>
      <c r="CDR37" s="11"/>
      <c r="CDS37" s="11"/>
      <c r="CDT37" s="11"/>
      <c r="CDU37" s="11"/>
      <c r="CDV37" s="11"/>
      <c r="CDW37" s="11"/>
      <c r="CDX37" s="11"/>
      <c r="CDY37" s="11"/>
      <c r="CDZ37" s="11"/>
      <c r="CEA37" s="11"/>
      <c r="CEB37" s="11"/>
      <c r="CEC37" s="11"/>
      <c r="CED37" s="11"/>
      <c r="CEE37" s="11"/>
      <c r="CEF37" s="11"/>
      <c r="CEG37" s="11"/>
      <c r="CEH37" s="11"/>
      <c r="CEI37" s="11"/>
      <c r="CEJ37" s="11"/>
      <c r="CEK37" s="11"/>
      <c r="CEL37" s="11"/>
      <c r="CEM37" s="11"/>
      <c r="CEN37" s="11"/>
      <c r="CEO37" s="11"/>
      <c r="CEP37" s="11"/>
      <c r="CEQ37" s="11"/>
      <c r="CER37" s="11"/>
      <c r="CES37" s="11"/>
      <c r="CET37" s="11"/>
      <c r="CEU37" s="11"/>
      <c r="CEV37" s="11"/>
      <c r="CEW37" s="11"/>
      <c r="CEX37" s="11"/>
      <c r="CEY37" s="11"/>
      <c r="CEZ37" s="11"/>
      <c r="CFA37" s="11"/>
      <c r="CFB37" s="11"/>
      <c r="CFC37" s="11"/>
      <c r="CFD37" s="11"/>
      <c r="CFE37" s="11"/>
      <c r="CFF37" s="11"/>
      <c r="CFG37" s="11"/>
      <c r="CFH37" s="11"/>
      <c r="CFI37" s="11"/>
      <c r="CFJ37" s="11"/>
      <c r="CFK37" s="11"/>
      <c r="CFL37" s="11"/>
      <c r="CFM37" s="11"/>
      <c r="CFN37" s="11"/>
      <c r="CFO37" s="11"/>
      <c r="CFP37" s="11"/>
      <c r="CFQ37" s="11"/>
      <c r="CFR37" s="11"/>
      <c r="CFS37" s="11"/>
      <c r="CFT37" s="11"/>
      <c r="CFU37" s="11"/>
      <c r="CFV37" s="11"/>
      <c r="CFW37" s="11"/>
      <c r="CFX37" s="11"/>
      <c r="CFY37" s="11"/>
      <c r="CFZ37" s="11"/>
      <c r="CGA37" s="11"/>
      <c r="CGB37" s="11"/>
      <c r="CGC37" s="11"/>
      <c r="CGD37" s="11"/>
      <c r="CGE37" s="11"/>
      <c r="CGF37" s="11"/>
      <c r="CGG37" s="11"/>
      <c r="CGH37" s="11"/>
      <c r="CGI37" s="11"/>
      <c r="CGJ37" s="11"/>
      <c r="CGK37" s="11"/>
      <c r="CGL37" s="11"/>
      <c r="CGM37" s="11"/>
      <c r="CGN37" s="11"/>
      <c r="CGO37" s="11"/>
      <c r="CGP37" s="11"/>
      <c r="CGQ37" s="11"/>
      <c r="CGR37" s="11"/>
      <c r="CGS37" s="11"/>
      <c r="CGT37" s="11"/>
      <c r="CGU37" s="11"/>
      <c r="CGV37" s="11"/>
      <c r="CGW37" s="11"/>
      <c r="CGX37" s="11"/>
      <c r="CGY37" s="11"/>
      <c r="CGZ37" s="11"/>
      <c r="CHA37" s="11"/>
      <c r="CHB37" s="11"/>
      <c r="CHC37" s="11"/>
      <c r="CHD37" s="11"/>
      <c r="CHE37" s="11"/>
      <c r="CHF37" s="11"/>
      <c r="CHG37" s="11"/>
      <c r="CHH37" s="11"/>
      <c r="CHI37" s="11"/>
      <c r="CHJ37" s="11"/>
      <c r="CHK37" s="11"/>
      <c r="CHL37" s="11"/>
      <c r="CHM37" s="11"/>
      <c r="CHN37" s="11"/>
      <c r="CHO37" s="11"/>
      <c r="CHP37" s="11"/>
      <c r="CHQ37" s="11"/>
      <c r="CHR37" s="11"/>
      <c r="CHS37" s="11"/>
      <c r="CHT37" s="11"/>
      <c r="CHU37" s="11"/>
      <c r="CHV37" s="11"/>
      <c r="CHW37" s="11"/>
      <c r="CHX37" s="11"/>
      <c r="CHY37" s="11"/>
      <c r="CHZ37" s="11"/>
      <c r="CIA37" s="11"/>
      <c r="CIB37" s="11"/>
      <c r="CIC37" s="11"/>
      <c r="CID37" s="11"/>
      <c r="CIE37" s="11"/>
      <c r="CIF37" s="11"/>
      <c r="CIG37" s="11"/>
      <c r="CIH37" s="11"/>
      <c r="CII37" s="11"/>
      <c r="CIJ37" s="11"/>
      <c r="CIK37" s="11"/>
      <c r="CIL37" s="11"/>
      <c r="CIM37" s="11"/>
      <c r="CIN37" s="11"/>
      <c r="CIO37" s="11"/>
      <c r="CIP37" s="11"/>
      <c r="CIQ37" s="11"/>
      <c r="CIR37" s="11"/>
      <c r="CIS37" s="11"/>
      <c r="CIT37" s="11"/>
      <c r="CIU37" s="11"/>
      <c r="CIV37" s="11"/>
      <c r="CIW37" s="11"/>
      <c r="CIX37" s="11"/>
      <c r="CIY37" s="11"/>
      <c r="CIZ37" s="11"/>
      <c r="CJA37" s="11"/>
      <c r="CJB37" s="11"/>
      <c r="CJC37" s="11"/>
      <c r="CJD37" s="11"/>
      <c r="CJE37" s="11"/>
      <c r="CJF37" s="11"/>
      <c r="CJG37" s="11"/>
      <c r="CJH37" s="11"/>
      <c r="CJI37" s="11"/>
      <c r="CJJ37" s="11"/>
      <c r="CJK37" s="11"/>
      <c r="CJL37" s="11"/>
      <c r="CJM37" s="11"/>
      <c r="CJN37" s="11"/>
      <c r="CJO37" s="11"/>
      <c r="CJP37" s="11"/>
      <c r="CJQ37" s="11"/>
      <c r="CJR37" s="11"/>
      <c r="CJS37" s="11"/>
      <c r="CJT37" s="11"/>
      <c r="CJU37" s="11"/>
      <c r="CJV37" s="11"/>
      <c r="CJW37" s="11"/>
      <c r="CJX37" s="11"/>
      <c r="CJY37" s="11"/>
      <c r="CJZ37" s="11"/>
      <c r="CKA37" s="11"/>
      <c r="CKB37" s="11"/>
      <c r="CKC37" s="11"/>
      <c r="CKD37" s="11"/>
      <c r="CKE37" s="11"/>
      <c r="CKF37" s="11"/>
      <c r="CKG37" s="11"/>
      <c r="CKH37" s="11"/>
      <c r="CKI37" s="11"/>
      <c r="CKJ37" s="11"/>
      <c r="CKK37" s="11"/>
      <c r="CKL37" s="11"/>
      <c r="CKM37" s="11"/>
      <c r="CKN37" s="11"/>
      <c r="CKO37" s="11"/>
      <c r="CKP37" s="11"/>
      <c r="CKQ37" s="11"/>
      <c r="CKR37" s="11"/>
      <c r="CKS37" s="11"/>
      <c r="CKT37" s="11"/>
      <c r="CKU37" s="11"/>
      <c r="CKV37" s="11"/>
      <c r="CKW37" s="11"/>
      <c r="CKX37" s="11"/>
      <c r="CKY37" s="11"/>
      <c r="CKZ37" s="11"/>
      <c r="CLA37" s="11"/>
      <c r="CLB37" s="11"/>
      <c r="CLC37" s="11"/>
      <c r="CLD37" s="11"/>
      <c r="CLE37" s="11"/>
      <c r="CLF37" s="11"/>
      <c r="CLG37" s="11"/>
      <c r="CLH37" s="11"/>
      <c r="CLI37" s="11"/>
      <c r="CLJ37" s="11"/>
      <c r="CLK37" s="11"/>
      <c r="CLL37" s="11"/>
      <c r="CLM37" s="11"/>
      <c r="CLN37" s="11"/>
      <c r="CLO37" s="11"/>
      <c r="CLP37" s="11"/>
      <c r="CLQ37" s="11"/>
      <c r="CLR37" s="11"/>
      <c r="CLS37" s="11"/>
      <c r="CLT37" s="11"/>
      <c r="CLU37" s="11"/>
      <c r="CLV37" s="11"/>
      <c r="CLW37" s="11"/>
      <c r="CLX37" s="11"/>
      <c r="CLY37" s="11"/>
      <c r="CLZ37" s="11"/>
      <c r="CMA37" s="11"/>
      <c r="CMB37" s="11"/>
      <c r="CMC37" s="11"/>
      <c r="CMD37" s="11"/>
      <c r="CME37" s="11"/>
      <c r="CMF37" s="11"/>
      <c r="CMG37" s="11"/>
      <c r="CMH37" s="11"/>
      <c r="CMI37" s="11"/>
      <c r="CMJ37" s="11"/>
      <c r="CMK37" s="11"/>
      <c r="CML37" s="11"/>
      <c r="CMM37" s="11"/>
      <c r="CMN37" s="11"/>
      <c r="CMO37" s="11"/>
      <c r="CMP37" s="11"/>
      <c r="CMQ37" s="11"/>
      <c r="CMR37" s="11"/>
      <c r="CMS37" s="11"/>
      <c r="CMT37" s="11"/>
      <c r="CMU37" s="11"/>
      <c r="CMV37" s="11"/>
      <c r="CMW37" s="11"/>
      <c r="CMX37" s="11"/>
      <c r="CMY37" s="11"/>
      <c r="CMZ37" s="11"/>
      <c r="CNA37" s="11"/>
      <c r="CNB37" s="11"/>
      <c r="CNC37" s="11"/>
      <c r="CND37" s="11"/>
      <c r="CNE37" s="11"/>
      <c r="CNF37" s="11"/>
      <c r="CNG37" s="11"/>
      <c r="CNH37" s="11"/>
      <c r="CNI37" s="11"/>
      <c r="CNJ37" s="11"/>
      <c r="CNK37" s="11"/>
      <c r="CNL37" s="11"/>
      <c r="CNM37" s="11"/>
      <c r="CNN37" s="11"/>
      <c r="CNO37" s="11"/>
      <c r="CNP37" s="11"/>
      <c r="CNQ37" s="11"/>
      <c r="CNR37" s="11"/>
      <c r="CNS37" s="11"/>
      <c r="CNT37" s="11"/>
      <c r="CNU37" s="11"/>
      <c r="CNV37" s="11"/>
      <c r="CNW37" s="11"/>
      <c r="CNX37" s="11"/>
      <c r="CNY37" s="11"/>
      <c r="CNZ37" s="11"/>
      <c r="COA37" s="11"/>
      <c r="COB37" s="11"/>
      <c r="COC37" s="11"/>
      <c r="COD37" s="11"/>
      <c r="COE37" s="11"/>
      <c r="COF37" s="11"/>
      <c r="COG37" s="11"/>
      <c r="COH37" s="11"/>
      <c r="COI37" s="11"/>
      <c r="COJ37" s="11"/>
      <c r="COK37" s="11"/>
      <c r="COL37" s="11"/>
      <c r="COM37" s="11"/>
      <c r="CON37" s="11"/>
      <c r="COO37" s="11"/>
      <c r="COP37" s="11"/>
      <c r="COQ37" s="11"/>
      <c r="COR37" s="11"/>
      <c r="COS37" s="11"/>
      <c r="COT37" s="11"/>
      <c r="COU37" s="11"/>
      <c r="COV37" s="11"/>
      <c r="COW37" s="11"/>
      <c r="COX37" s="11"/>
      <c r="COY37" s="11"/>
      <c r="COZ37" s="11"/>
      <c r="CPA37" s="11"/>
      <c r="CPB37" s="11"/>
      <c r="CPC37" s="11"/>
      <c r="CPD37" s="11"/>
      <c r="CPE37" s="11"/>
      <c r="CPF37" s="11"/>
      <c r="CPG37" s="11"/>
      <c r="CPH37" s="11"/>
      <c r="CPI37" s="11"/>
      <c r="CPJ37" s="11"/>
      <c r="CPK37" s="11"/>
      <c r="CPL37" s="11"/>
      <c r="CPM37" s="11"/>
      <c r="CPN37" s="11"/>
      <c r="CPO37" s="11"/>
      <c r="CPP37" s="11"/>
      <c r="CPQ37" s="11"/>
      <c r="CPR37" s="11"/>
      <c r="CPS37" s="11"/>
      <c r="CPT37" s="11"/>
      <c r="CPU37" s="11"/>
      <c r="CPV37" s="11"/>
      <c r="CPW37" s="11"/>
      <c r="CPX37" s="11"/>
      <c r="CPY37" s="11"/>
      <c r="CPZ37" s="11"/>
      <c r="CQA37" s="11"/>
      <c r="CQB37" s="11"/>
      <c r="CQC37" s="11"/>
      <c r="CQD37" s="11"/>
      <c r="CQE37" s="11"/>
      <c r="CQF37" s="11"/>
      <c r="CQG37" s="11"/>
      <c r="CQH37" s="11"/>
      <c r="CQI37" s="11"/>
      <c r="CQJ37" s="11"/>
      <c r="CQK37" s="11"/>
      <c r="CQL37" s="11"/>
      <c r="CQM37" s="11"/>
      <c r="CQN37" s="11"/>
      <c r="CQO37" s="11"/>
      <c r="CQP37" s="11"/>
      <c r="CQQ37" s="11"/>
      <c r="CQR37" s="11"/>
      <c r="CQS37" s="11"/>
      <c r="CQT37" s="11"/>
      <c r="CQU37" s="11"/>
      <c r="CQV37" s="11"/>
      <c r="CQW37" s="11"/>
      <c r="CQX37" s="11"/>
      <c r="CQY37" s="11"/>
      <c r="CQZ37" s="11"/>
      <c r="CRA37" s="11"/>
      <c r="CRB37" s="11"/>
      <c r="CRC37" s="11"/>
      <c r="CRD37" s="11"/>
      <c r="CRE37" s="11"/>
      <c r="CRF37" s="11"/>
      <c r="CRG37" s="11"/>
      <c r="CRH37" s="11"/>
      <c r="CRI37" s="11"/>
      <c r="CRJ37" s="11"/>
      <c r="CRK37" s="11"/>
      <c r="CRL37" s="11"/>
      <c r="CRM37" s="11"/>
      <c r="CRN37" s="11"/>
      <c r="CRO37" s="11"/>
      <c r="CRP37" s="11"/>
      <c r="CRQ37" s="11"/>
      <c r="CRR37" s="11"/>
      <c r="CRS37" s="11"/>
      <c r="CRT37" s="11"/>
      <c r="CRU37" s="11"/>
      <c r="CRV37" s="11"/>
      <c r="CRW37" s="11"/>
      <c r="CRX37" s="11"/>
      <c r="CRY37" s="11"/>
      <c r="CRZ37" s="11"/>
      <c r="CSA37" s="11"/>
      <c r="CSB37" s="11"/>
      <c r="CSC37" s="11"/>
      <c r="CSD37" s="11"/>
      <c r="CSE37" s="11"/>
      <c r="CSF37" s="11"/>
      <c r="CSG37" s="11"/>
      <c r="CSH37" s="11"/>
      <c r="CSI37" s="11"/>
      <c r="CSJ37" s="11"/>
      <c r="CSK37" s="11"/>
      <c r="CSL37" s="11"/>
      <c r="CSM37" s="11"/>
      <c r="CSN37" s="11"/>
      <c r="CSO37" s="11"/>
      <c r="CSP37" s="11"/>
      <c r="CSQ37" s="11"/>
      <c r="CSR37" s="11"/>
      <c r="CSS37" s="11"/>
      <c r="CST37" s="11"/>
      <c r="CSU37" s="11"/>
      <c r="CSV37" s="11"/>
      <c r="CSW37" s="11"/>
      <c r="CSX37" s="11"/>
      <c r="CSY37" s="11"/>
      <c r="CSZ37" s="11"/>
      <c r="CTA37" s="11"/>
      <c r="CTB37" s="11"/>
      <c r="CTC37" s="11"/>
      <c r="CTD37" s="11"/>
      <c r="CTE37" s="11"/>
      <c r="CTF37" s="11"/>
      <c r="CTG37" s="11"/>
      <c r="CTH37" s="11"/>
      <c r="CTI37" s="11"/>
      <c r="CTJ37" s="11"/>
      <c r="CTK37" s="11"/>
      <c r="CTL37" s="11"/>
      <c r="CTM37" s="11"/>
      <c r="CTN37" s="11"/>
      <c r="CTO37" s="11"/>
      <c r="CTP37" s="11"/>
      <c r="CTQ37" s="11"/>
      <c r="CTR37" s="11"/>
      <c r="CTS37" s="11"/>
      <c r="CTT37" s="11"/>
      <c r="CTU37" s="11"/>
      <c r="CTV37" s="11"/>
      <c r="CTW37" s="11"/>
      <c r="CTX37" s="11"/>
      <c r="CTY37" s="11"/>
      <c r="CTZ37" s="11"/>
      <c r="CUA37" s="11"/>
      <c r="CUB37" s="11"/>
      <c r="CUC37" s="11"/>
      <c r="CUD37" s="11"/>
      <c r="CUE37" s="11"/>
      <c r="CUF37" s="11"/>
      <c r="CUG37" s="11"/>
      <c r="CUH37" s="11"/>
      <c r="CUI37" s="11"/>
      <c r="CUJ37" s="11"/>
      <c r="CUK37" s="11"/>
      <c r="CUL37" s="11"/>
      <c r="CUM37" s="11"/>
      <c r="CUN37" s="11"/>
      <c r="CUO37" s="11"/>
      <c r="CUP37" s="11"/>
      <c r="CUQ37" s="11"/>
      <c r="CUR37" s="11"/>
      <c r="CUS37" s="11"/>
      <c r="CUT37" s="11"/>
      <c r="CUU37" s="11"/>
      <c r="CUV37" s="11"/>
      <c r="CUW37" s="11"/>
      <c r="CUX37" s="11"/>
      <c r="CUY37" s="11"/>
      <c r="CUZ37" s="11"/>
      <c r="CVA37" s="11"/>
      <c r="CVB37" s="11"/>
      <c r="CVC37" s="11"/>
      <c r="CVD37" s="11"/>
      <c r="CVE37" s="11"/>
      <c r="CVF37" s="11"/>
      <c r="CVG37" s="11"/>
      <c r="CVH37" s="11"/>
      <c r="CVI37" s="11"/>
      <c r="CVJ37" s="11"/>
      <c r="CVK37" s="11"/>
      <c r="CVL37" s="11"/>
      <c r="CVM37" s="11"/>
      <c r="CVN37" s="11"/>
      <c r="CVO37" s="11"/>
      <c r="CVP37" s="11"/>
      <c r="CVQ37" s="11"/>
      <c r="CVR37" s="11"/>
      <c r="CVS37" s="11"/>
      <c r="CVT37" s="11"/>
      <c r="CVU37" s="11"/>
      <c r="CVV37" s="11"/>
      <c r="CVW37" s="11"/>
      <c r="CVX37" s="11"/>
      <c r="CVY37" s="11"/>
      <c r="CVZ37" s="11"/>
      <c r="CWA37" s="11"/>
      <c r="CWB37" s="11"/>
      <c r="CWC37" s="11"/>
      <c r="CWD37" s="11"/>
      <c r="CWE37" s="11"/>
      <c r="CWF37" s="11"/>
      <c r="CWG37" s="11"/>
      <c r="CWH37" s="11"/>
      <c r="CWI37" s="11"/>
      <c r="CWJ37" s="11"/>
      <c r="CWK37" s="11"/>
      <c r="CWL37" s="11"/>
      <c r="CWM37" s="11"/>
      <c r="CWN37" s="11"/>
      <c r="CWO37" s="11"/>
      <c r="CWP37" s="11"/>
      <c r="CWQ37" s="11"/>
      <c r="CWR37" s="11"/>
      <c r="CWS37" s="11"/>
      <c r="CWT37" s="11"/>
      <c r="CWU37" s="11"/>
      <c r="CWV37" s="11"/>
      <c r="CWW37" s="11"/>
      <c r="CWX37" s="11"/>
      <c r="CWY37" s="11"/>
      <c r="CWZ37" s="11"/>
      <c r="CXA37" s="11"/>
      <c r="CXB37" s="11"/>
      <c r="CXC37" s="11"/>
      <c r="CXD37" s="11"/>
      <c r="CXE37" s="11"/>
      <c r="CXF37" s="11"/>
      <c r="CXG37" s="11"/>
      <c r="CXH37" s="11"/>
      <c r="CXI37" s="11"/>
      <c r="CXJ37" s="11"/>
      <c r="CXK37" s="11"/>
      <c r="CXL37" s="11"/>
      <c r="CXM37" s="11"/>
      <c r="CXN37" s="11"/>
      <c r="CXO37" s="11"/>
      <c r="CXP37" s="11"/>
      <c r="CXQ37" s="11"/>
      <c r="CXR37" s="11"/>
      <c r="CXS37" s="11"/>
      <c r="CXT37" s="11"/>
      <c r="CXU37" s="11"/>
      <c r="CXV37" s="11"/>
      <c r="CXW37" s="11"/>
      <c r="CXX37" s="11"/>
      <c r="CXY37" s="11"/>
      <c r="CXZ37" s="11"/>
      <c r="CYA37" s="11"/>
      <c r="CYB37" s="11"/>
      <c r="CYC37" s="11"/>
      <c r="CYD37" s="11"/>
      <c r="CYE37" s="11"/>
      <c r="CYF37" s="11"/>
      <c r="CYG37" s="11"/>
      <c r="CYH37" s="11"/>
      <c r="CYI37" s="11"/>
      <c r="CYJ37" s="11"/>
      <c r="CYK37" s="11"/>
      <c r="CYL37" s="11"/>
      <c r="CYM37" s="11"/>
      <c r="CYN37" s="11"/>
      <c r="CYO37" s="11"/>
      <c r="CYP37" s="11"/>
      <c r="CYQ37" s="11"/>
      <c r="CYR37" s="11"/>
      <c r="CYS37" s="11"/>
      <c r="CYT37" s="11"/>
      <c r="CYU37" s="11"/>
      <c r="CYV37" s="11"/>
      <c r="CYW37" s="11"/>
      <c r="CYX37" s="11"/>
      <c r="CYY37" s="11"/>
      <c r="CYZ37" s="11"/>
      <c r="CZA37" s="11"/>
      <c r="CZB37" s="11"/>
      <c r="CZC37" s="11"/>
      <c r="CZD37" s="11"/>
      <c r="CZE37" s="11"/>
      <c r="CZF37" s="11"/>
      <c r="CZG37" s="11"/>
      <c r="CZH37" s="11"/>
      <c r="CZI37" s="11"/>
      <c r="CZJ37" s="11"/>
      <c r="CZK37" s="11"/>
      <c r="CZL37" s="11"/>
      <c r="CZM37" s="11"/>
      <c r="CZN37" s="11"/>
      <c r="CZO37" s="11"/>
      <c r="CZP37" s="11"/>
      <c r="CZQ37" s="11"/>
      <c r="CZR37" s="11"/>
      <c r="CZS37" s="11"/>
      <c r="CZT37" s="11"/>
      <c r="CZU37" s="11"/>
      <c r="CZV37" s="11"/>
      <c r="CZW37" s="11"/>
      <c r="CZX37" s="11"/>
      <c r="CZY37" s="11"/>
      <c r="CZZ37" s="11"/>
      <c r="DAA37" s="11"/>
      <c r="DAB37" s="11"/>
      <c r="DAC37" s="11"/>
      <c r="DAD37" s="11"/>
      <c r="DAE37" s="11"/>
      <c r="DAF37" s="11"/>
      <c r="DAG37" s="11"/>
      <c r="DAH37" s="11"/>
      <c r="DAI37" s="11"/>
      <c r="DAJ37" s="11"/>
      <c r="DAK37" s="11"/>
      <c r="DAL37" s="11"/>
      <c r="DAM37" s="11"/>
      <c r="DAN37" s="11"/>
      <c r="DAO37" s="11"/>
      <c r="DAP37" s="11"/>
      <c r="DAQ37" s="11"/>
      <c r="DAR37" s="11"/>
      <c r="DAS37" s="11"/>
      <c r="DAT37" s="11"/>
      <c r="DAU37" s="11"/>
      <c r="DAV37" s="11"/>
      <c r="DAW37" s="11"/>
      <c r="DAX37" s="11"/>
      <c r="DAY37" s="11"/>
      <c r="DAZ37" s="11"/>
      <c r="DBA37" s="11"/>
      <c r="DBB37" s="11"/>
      <c r="DBC37" s="11"/>
      <c r="DBD37" s="11"/>
      <c r="DBE37" s="11"/>
      <c r="DBF37" s="11"/>
      <c r="DBG37" s="11"/>
      <c r="DBH37" s="11"/>
      <c r="DBI37" s="11"/>
      <c r="DBJ37" s="11"/>
      <c r="DBK37" s="11"/>
      <c r="DBL37" s="11"/>
      <c r="DBM37" s="11"/>
      <c r="DBN37" s="11"/>
      <c r="DBO37" s="11"/>
      <c r="DBP37" s="11"/>
      <c r="DBQ37" s="11"/>
      <c r="DBR37" s="11"/>
      <c r="DBS37" s="11"/>
      <c r="DBT37" s="11"/>
      <c r="DBU37" s="11"/>
      <c r="DBV37" s="11"/>
      <c r="DBW37" s="11"/>
      <c r="DBX37" s="11"/>
      <c r="DBY37" s="11"/>
      <c r="DBZ37" s="11"/>
      <c r="DCA37" s="11"/>
      <c r="DCB37" s="11"/>
      <c r="DCC37" s="11"/>
      <c r="DCD37" s="11"/>
      <c r="DCE37" s="11"/>
      <c r="DCF37" s="11"/>
      <c r="DCG37" s="11"/>
      <c r="DCH37" s="11"/>
      <c r="DCI37" s="11"/>
      <c r="DCJ37" s="11"/>
      <c r="DCK37" s="11"/>
      <c r="DCL37" s="11"/>
      <c r="DCM37" s="11"/>
      <c r="DCN37" s="11"/>
      <c r="DCO37" s="11"/>
      <c r="DCP37" s="11"/>
      <c r="DCQ37" s="11"/>
      <c r="DCR37" s="11"/>
      <c r="DCS37" s="11"/>
      <c r="DCT37" s="11"/>
      <c r="DCU37" s="11"/>
      <c r="DCV37" s="11"/>
      <c r="DCW37" s="11"/>
      <c r="DCX37" s="11"/>
      <c r="DCY37" s="11"/>
      <c r="DCZ37" s="11"/>
      <c r="DDA37" s="11"/>
      <c r="DDB37" s="11"/>
      <c r="DDC37" s="11"/>
      <c r="DDD37" s="11"/>
      <c r="DDE37" s="11"/>
      <c r="DDF37" s="11"/>
      <c r="DDG37" s="11"/>
      <c r="DDH37" s="11"/>
      <c r="DDI37" s="11"/>
      <c r="DDJ37" s="11"/>
      <c r="DDK37" s="11"/>
      <c r="DDL37" s="11"/>
      <c r="DDM37" s="11"/>
      <c r="DDN37" s="11"/>
      <c r="DDO37" s="11"/>
      <c r="DDP37" s="11"/>
      <c r="DDQ37" s="11"/>
      <c r="DDR37" s="11"/>
      <c r="DDS37" s="11"/>
      <c r="DDT37" s="11"/>
      <c r="DDU37" s="11"/>
      <c r="DDV37" s="11"/>
      <c r="DDW37" s="11"/>
      <c r="DDX37" s="11"/>
      <c r="DDY37" s="11"/>
      <c r="DDZ37" s="11"/>
      <c r="DEA37" s="11"/>
      <c r="DEB37" s="11"/>
      <c r="DEC37" s="11"/>
      <c r="DED37" s="11"/>
      <c r="DEE37" s="11"/>
      <c r="DEF37" s="11"/>
      <c r="DEG37" s="11"/>
      <c r="DEH37" s="11"/>
      <c r="DEI37" s="11"/>
      <c r="DEJ37" s="11"/>
      <c r="DEK37" s="11"/>
      <c r="DEL37" s="11"/>
      <c r="DEM37" s="11"/>
      <c r="DEN37" s="11"/>
      <c r="DEO37" s="11"/>
      <c r="DEP37" s="11"/>
      <c r="DEQ37" s="11"/>
      <c r="DER37" s="11"/>
      <c r="DES37" s="11"/>
      <c r="DET37" s="11"/>
      <c r="DEU37" s="11"/>
      <c r="DEV37" s="11"/>
      <c r="DEW37" s="11"/>
      <c r="DEX37" s="11"/>
      <c r="DEY37" s="11"/>
      <c r="DEZ37" s="11"/>
      <c r="DFA37" s="11"/>
      <c r="DFB37" s="11"/>
      <c r="DFC37" s="11"/>
      <c r="DFD37" s="11"/>
      <c r="DFE37" s="11"/>
      <c r="DFF37" s="11"/>
      <c r="DFG37" s="11"/>
      <c r="DFH37" s="11"/>
      <c r="DFI37" s="11"/>
      <c r="DFJ37" s="11"/>
      <c r="DFK37" s="11"/>
      <c r="DFL37" s="11"/>
      <c r="DFM37" s="11"/>
      <c r="DFN37" s="11"/>
      <c r="DFO37" s="11"/>
      <c r="DFP37" s="11"/>
      <c r="DFQ37" s="11"/>
      <c r="DFR37" s="11"/>
      <c r="DFS37" s="11"/>
      <c r="DFT37" s="11"/>
      <c r="DFU37" s="11"/>
      <c r="DFV37" s="11"/>
      <c r="DFW37" s="11"/>
      <c r="DFX37" s="11"/>
      <c r="DFY37" s="11"/>
      <c r="DFZ37" s="11"/>
      <c r="DGA37" s="11"/>
      <c r="DGB37" s="11"/>
      <c r="DGC37" s="11"/>
      <c r="DGD37" s="11"/>
      <c r="DGE37" s="11"/>
      <c r="DGF37" s="11"/>
      <c r="DGG37" s="11"/>
      <c r="DGH37" s="11"/>
      <c r="DGI37" s="11"/>
      <c r="DGJ37" s="11"/>
      <c r="DGK37" s="11"/>
      <c r="DGL37" s="11"/>
      <c r="DGM37" s="11"/>
      <c r="DGN37" s="11"/>
      <c r="DGO37" s="11"/>
      <c r="DGP37" s="11"/>
      <c r="DGQ37" s="11"/>
      <c r="DGR37" s="11"/>
      <c r="DGS37" s="11"/>
      <c r="DGT37" s="11"/>
      <c r="DGU37" s="11"/>
      <c r="DGV37" s="11"/>
      <c r="DGW37" s="11"/>
      <c r="DGX37" s="11"/>
      <c r="DGY37" s="11"/>
      <c r="DGZ37" s="11"/>
      <c r="DHA37" s="11"/>
      <c r="DHB37" s="11"/>
      <c r="DHC37" s="11"/>
      <c r="DHD37" s="11"/>
      <c r="DHE37" s="11"/>
      <c r="DHF37" s="11"/>
      <c r="DHG37" s="11"/>
      <c r="DHH37" s="11"/>
      <c r="DHI37" s="11"/>
      <c r="DHJ37" s="11"/>
      <c r="DHK37" s="11"/>
      <c r="DHL37" s="11"/>
      <c r="DHM37" s="11"/>
      <c r="DHN37" s="11"/>
      <c r="DHO37" s="11"/>
      <c r="DHP37" s="11"/>
      <c r="DHQ37" s="11"/>
      <c r="DHR37" s="11"/>
      <c r="DHS37" s="11"/>
      <c r="DHT37" s="11"/>
      <c r="DHU37" s="11"/>
      <c r="DHV37" s="11"/>
      <c r="DHW37" s="11"/>
      <c r="DHX37" s="11"/>
      <c r="DHY37" s="11"/>
      <c r="DHZ37" s="11"/>
      <c r="DIA37" s="11"/>
      <c r="DIB37" s="11"/>
      <c r="DIC37" s="11"/>
      <c r="DID37" s="11"/>
      <c r="DIE37" s="11"/>
      <c r="DIF37" s="11"/>
      <c r="DIG37" s="11"/>
      <c r="DIH37" s="11"/>
      <c r="DII37" s="11"/>
      <c r="DIJ37" s="11"/>
      <c r="DIK37" s="11"/>
      <c r="DIL37" s="11"/>
      <c r="DIM37" s="11"/>
      <c r="DIN37" s="11"/>
      <c r="DIO37" s="11"/>
      <c r="DIP37" s="11"/>
      <c r="DIQ37" s="11"/>
      <c r="DIR37" s="11"/>
      <c r="DIS37" s="11"/>
      <c r="DIT37" s="11"/>
      <c r="DIU37" s="11"/>
      <c r="DIV37" s="11"/>
      <c r="DIW37" s="11"/>
      <c r="DIX37" s="11"/>
      <c r="DIY37" s="11"/>
      <c r="DIZ37" s="11"/>
      <c r="DJA37" s="11"/>
      <c r="DJB37" s="11"/>
      <c r="DJC37" s="11"/>
      <c r="DJD37" s="11"/>
      <c r="DJE37" s="11"/>
      <c r="DJF37" s="11"/>
      <c r="DJG37" s="11"/>
      <c r="DJH37" s="11"/>
      <c r="DJI37" s="11"/>
      <c r="DJJ37" s="11"/>
      <c r="DJK37" s="11"/>
      <c r="DJL37" s="11"/>
      <c r="DJM37" s="11"/>
      <c r="DJN37" s="11"/>
      <c r="DJO37" s="11"/>
      <c r="DJP37" s="11"/>
      <c r="DJQ37" s="11"/>
      <c r="DJR37" s="11"/>
      <c r="DJS37" s="11"/>
      <c r="DJT37" s="11"/>
      <c r="DJU37" s="11"/>
      <c r="DJV37" s="11"/>
      <c r="DJW37" s="11"/>
      <c r="DJX37" s="11"/>
      <c r="DJY37" s="11"/>
      <c r="DJZ37" s="11"/>
      <c r="DKA37" s="11"/>
      <c r="DKB37" s="11"/>
      <c r="DKC37" s="11"/>
      <c r="DKD37" s="11"/>
      <c r="DKE37" s="11"/>
      <c r="DKF37" s="11"/>
      <c r="DKG37" s="11"/>
      <c r="DKH37" s="11"/>
      <c r="DKI37" s="11"/>
      <c r="DKJ37" s="11"/>
      <c r="DKK37" s="11"/>
      <c r="DKL37" s="11"/>
      <c r="DKM37" s="11"/>
      <c r="DKN37" s="11"/>
      <c r="DKO37" s="11"/>
      <c r="DKP37" s="11"/>
      <c r="DKQ37" s="11"/>
      <c r="DKR37" s="11"/>
      <c r="DKS37" s="11"/>
      <c r="DKT37" s="11"/>
      <c r="DKU37" s="11"/>
      <c r="DKV37" s="11"/>
      <c r="DKW37" s="11"/>
      <c r="DKX37" s="11"/>
      <c r="DKY37" s="11"/>
      <c r="DKZ37" s="11"/>
      <c r="DLA37" s="11"/>
      <c r="DLB37" s="11"/>
      <c r="DLC37" s="11"/>
      <c r="DLD37" s="11"/>
      <c r="DLE37" s="11"/>
      <c r="DLF37" s="11"/>
      <c r="DLG37" s="11"/>
      <c r="DLH37" s="11"/>
      <c r="DLI37" s="11"/>
      <c r="DLJ37" s="11"/>
      <c r="DLK37" s="11"/>
      <c r="DLL37" s="11"/>
      <c r="DLM37" s="11"/>
      <c r="DLN37" s="11"/>
      <c r="DLO37" s="11"/>
      <c r="DLP37" s="11"/>
      <c r="DLQ37" s="11"/>
      <c r="DLR37" s="11"/>
      <c r="DLS37" s="11"/>
      <c r="DLT37" s="11"/>
      <c r="DLU37" s="11"/>
      <c r="DLV37" s="11"/>
      <c r="DLW37" s="11"/>
      <c r="DLX37" s="11"/>
      <c r="DLY37" s="11"/>
      <c r="DLZ37" s="11"/>
      <c r="DMA37" s="11"/>
      <c r="DMB37" s="11"/>
      <c r="DMC37" s="11"/>
      <c r="DMD37" s="11"/>
      <c r="DME37" s="11"/>
      <c r="DMF37" s="11"/>
      <c r="DMG37" s="11"/>
      <c r="DMH37" s="11"/>
      <c r="DMI37" s="11"/>
      <c r="DMJ37" s="11"/>
      <c r="DMK37" s="11"/>
      <c r="DML37" s="11"/>
      <c r="DMM37" s="11"/>
      <c r="DMN37" s="11"/>
      <c r="DMO37" s="11"/>
      <c r="DMP37" s="11"/>
      <c r="DMQ37" s="11"/>
      <c r="DMR37" s="11"/>
      <c r="DMS37" s="11"/>
      <c r="DMT37" s="11"/>
      <c r="DMU37" s="11"/>
      <c r="DMV37" s="11"/>
      <c r="DMW37" s="11"/>
      <c r="DMX37" s="11"/>
      <c r="DMY37" s="11"/>
      <c r="DMZ37" s="11"/>
      <c r="DNA37" s="11"/>
      <c r="DNB37" s="11"/>
      <c r="DNC37" s="11"/>
      <c r="DND37" s="11"/>
      <c r="DNE37" s="11"/>
      <c r="DNF37" s="11"/>
      <c r="DNG37" s="11"/>
      <c r="DNH37" s="11"/>
      <c r="DNI37" s="11"/>
      <c r="DNJ37" s="11"/>
      <c r="DNK37" s="11"/>
      <c r="DNL37" s="11"/>
      <c r="DNM37" s="11"/>
      <c r="DNN37" s="11"/>
      <c r="DNO37" s="11"/>
      <c r="DNP37" s="11"/>
      <c r="DNQ37" s="11"/>
      <c r="DNR37" s="11"/>
      <c r="DNS37" s="11"/>
      <c r="DNT37" s="11"/>
      <c r="DNU37" s="11"/>
      <c r="DNV37" s="11"/>
      <c r="DNW37" s="11"/>
      <c r="DNX37" s="11"/>
      <c r="DNY37" s="11"/>
      <c r="DNZ37" s="11"/>
      <c r="DOA37" s="11"/>
      <c r="DOB37" s="11"/>
      <c r="DOC37" s="11"/>
      <c r="DOD37" s="11"/>
      <c r="DOE37" s="11"/>
      <c r="DOF37" s="11"/>
      <c r="DOG37" s="11"/>
      <c r="DOH37" s="11"/>
      <c r="DOI37" s="11"/>
      <c r="DOJ37" s="11"/>
      <c r="DOK37" s="11"/>
      <c r="DOL37" s="11"/>
      <c r="DOM37" s="11"/>
      <c r="DON37" s="11"/>
      <c r="DOO37" s="11"/>
      <c r="DOP37" s="11"/>
      <c r="DOQ37" s="11"/>
      <c r="DOR37" s="11"/>
      <c r="DOS37" s="11"/>
      <c r="DOT37" s="11"/>
      <c r="DOU37" s="11"/>
      <c r="DOV37" s="11"/>
      <c r="DOW37" s="11"/>
      <c r="DOX37" s="11"/>
      <c r="DOY37" s="11"/>
      <c r="DOZ37" s="11"/>
      <c r="DPA37" s="11"/>
      <c r="DPB37" s="11"/>
      <c r="DPC37" s="11"/>
      <c r="DPD37" s="11"/>
      <c r="DPE37" s="11"/>
      <c r="DPF37" s="11"/>
      <c r="DPG37" s="11"/>
      <c r="DPH37" s="11"/>
      <c r="DPI37" s="11"/>
      <c r="DPJ37" s="11"/>
      <c r="DPK37" s="11"/>
      <c r="DPL37" s="11"/>
      <c r="DPM37" s="11"/>
      <c r="DPN37" s="11"/>
      <c r="DPO37" s="11"/>
      <c r="DPP37" s="11"/>
      <c r="DPQ37" s="11"/>
      <c r="DPR37" s="11"/>
      <c r="DPS37" s="11"/>
      <c r="DPT37" s="11"/>
      <c r="DPU37" s="11"/>
      <c r="DPV37" s="11"/>
      <c r="DPW37" s="11"/>
      <c r="DPX37" s="11"/>
      <c r="DPY37" s="11"/>
      <c r="DPZ37" s="11"/>
      <c r="DQA37" s="11"/>
      <c r="DQB37" s="11"/>
      <c r="DQC37" s="11"/>
      <c r="DQD37" s="11"/>
      <c r="DQE37" s="11"/>
      <c r="DQF37" s="11"/>
      <c r="DQG37" s="11"/>
      <c r="DQH37" s="11"/>
      <c r="DQI37" s="11"/>
      <c r="DQJ37" s="11"/>
      <c r="DQK37" s="11"/>
      <c r="DQL37" s="11"/>
      <c r="DQM37" s="11"/>
      <c r="DQN37" s="11"/>
      <c r="DQO37" s="11"/>
      <c r="DQP37" s="11"/>
      <c r="DQQ37" s="11"/>
      <c r="DQR37" s="11"/>
      <c r="DQS37" s="11"/>
      <c r="DQT37" s="11"/>
      <c r="DQU37" s="11"/>
      <c r="DQV37" s="11"/>
      <c r="DQW37" s="11"/>
      <c r="DQX37" s="11"/>
      <c r="DQY37" s="11"/>
      <c r="DQZ37" s="11"/>
      <c r="DRA37" s="11"/>
      <c r="DRB37" s="11"/>
      <c r="DRC37" s="11"/>
      <c r="DRD37" s="11"/>
      <c r="DRE37" s="11"/>
      <c r="DRF37" s="11"/>
      <c r="DRG37" s="11"/>
      <c r="DRH37" s="11"/>
      <c r="DRI37" s="11"/>
      <c r="DRJ37" s="11"/>
      <c r="DRK37" s="11"/>
      <c r="DRL37" s="11"/>
      <c r="DRM37" s="11"/>
      <c r="DRN37" s="11"/>
      <c r="DRO37" s="11"/>
      <c r="DRP37" s="11"/>
      <c r="DRQ37" s="11"/>
      <c r="DRR37" s="11"/>
      <c r="DRS37" s="11"/>
      <c r="DRT37" s="11"/>
      <c r="DRU37" s="11"/>
      <c r="DRV37" s="11"/>
      <c r="DRW37" s="11"/>
      <c r="DRX37" s="11"/>
      <c r="DRY37" s="11"/>
      <c r="DRZ37" s="11"/>
      <c r="DSA37" s="11"/>
      <c r="DSB37" s="11"/>
      <c r="DSC37" s="11"/>
      <c r="DSD37" s="11"/>
      <c r="DSE37" s="11"/>
      <c r="DSF37" s="11"/>
      <c r="DSG37" s="11"/>
      <c r="DSH37" s="11"/>
      <c r="DSI37" s="11"/>
      <c r="DSJ37" s="11"/>
      <c r="DSK37" s="11"/>
      <c r="DSL37" s="11"/>
      <c r="DSM37" s="11"/>
      <c r="DSN37" s="11"/>
      <c r="DSO37" s="11"/>
      <c r="DSP37" s="11"/>
      <c r="DSQ37" s="11"/>
      <c r="DSR37" s="11"/>
      <c r="DSS37" s="11"/>
      <c r="DST37" s="11"/>
      <c r="DSU37" s="11"/>
      <c r="DSV37" s="11"/>
      <c r="DSW37" s="11"/>
      <c r="DSX37" s="11"/>
      <c r="DSY37" s="11"/>
      <c r="DSZ37" s="11"/>
      <c r="DTA37" s="11"/>
      <c r="DTB37" s="11"/>
      <c r="DTC37" s="11"/>
      <c r="DTD37" s="11"/>
      <c r="DTE37" s="11"/>
      <c r="DTF37" s="11"/>
      <c r="DTG37" s="11"/>
      <c r="DTH37" s="11"/>
      <c r="DTI37" s="11"/>
      <c r="DTJ37" s="11"/>
      <c r="DTK37" s="11"/>
      <c r="DTL37" s="11"/>
      <c r="DTM37" s="11"/>
      <c r="DTN37" s="11"/>
      <c r="DTO37" s="11"/>
      <c r="DTP37" s="11"/>
      <c r="DTQ37" s="11"/>
      <c r="DTR37" s="11"/>
      <c r="DTS37" s="11"/>
      <c r="DTT37" s="11"/>
      <c r="DTU37" s="11"/>
      <c r="DTV37" s="11"/>
      <c r="DTW37" s="11"/>
      <c r="DTX37" s="11"/>
      <c r="DTY37" s="11"/>
      <c r="DTZ37" s="11"/>
      <c r="DUA37" s="11"/>
      <c r="DUB37" s="11"/>
      <c r="DUC37" s="11"/>
      <c r="DUD37" s="11"/>
      <c r="DUE37" s="11"/>
      <c r="DUF37" s="11"/>
      <c r="DUG37" s="11"/>
      <c r="DUH37" s="11"/>
      <c r="DUI37" s="11"/>
      <c r="DUJ37" s="11"/>
      <c r="DUK37" s="11"/>
      <c r="DUL37" s="11"/>
      <c r="DUM37" s="11"/>
      <c r="DUN37" s="11"/>
      <c r="DUO37" s="11"/>
      <c r="DUP37" s="11"/>
      <c r="DUQ37" s="11"/>
      <c r="DUR37" s="11"/>
      <c r="DUS37" s="11"/>
      <c r="DUT37" s="11"/>
      <c r="DUU37" s="11"/>
      <c r="DUV37" s="11"/>
      <c r="DUW37" s="11"/>
      <c r="DUX37" s="11"/>
      <c r="DUY37" s="11"/>
      <c r="DUZ37" s="11"/>
      <c r="DVA37" s="11"/>
      <c r="DVB37" s="11"/>
      <c r="DVC37" s="11"/>
      <c r="DVD37" s="11"/>
      <c r="DVE37" s="11"/>
      <c r="DVF37" s="11"/>
      <c r="DVG37" s="11"/>
      <c r="DVH37" s="11"/>
      <c r="DVI37" s="11"/>
      <c r="DVJ37" s="11"/>
      <c r="DVK37" s="11"/>
      <c r="DVL37" s="11"/>
      <c r="DVM37" s="11"/>
      <c r="DVN37" s="11"/>
      <c r="DVO37" s="11"/>
      <c r="DVP37" s="11"/>
      <c r="DVQ37" s="11"/>
      <c r="DVR37" s="11"/>
      <c r="DVS37" s="11"/>
      <c r="DVT37" s="11"/>
      <c r="DVU37" s="11"/>
      <c r="DVV37" s="11"/>
      <c r="DVW37" s="11"/>
      <c r="DVX37" s="11"/>
      <c r="DVY37" s="11"/>
      <c r="DVZ37" s="11"/>
      <c r="DWA37" s="11"/>
      <c r="DWB37" s="11"/>
      <c r="DWC37" s="11"/>
      <c r="DWD37" s="11"/>
      <c r="DWE37" s="11"/>
      <c r="DWF37" s="11"/>
      <c r="DWG37" s="11"/>
      <c r="DWH37" s="11"/>
      <c r="DWI37" s="11"/>
      <c r="DWJ37" s="11"/>
      <c r="DWK37" s="11"/>
      <c r="DWL37" s="11"/>
      <c r="DWM37" s="11"/>
      <c r="DWN37" s="11"/>
      <c r="DWO37" s="11"/>
      <c r="DWP37" s="11"/>
      <c r="DWQ37" s="11"/>
      <c r="DWR37" s="11"/>
      <c r="DWS37" s="11"/>
      <c r="DWT37" s="11"/>
      <c r="DWU37" s="11"/>
      <c r="DWV37" s="11"/>
      <c r="DWW37" s="11"/>
      <c r="DWX37" s="11"/>
      <c r="DWY37" s="11"/>
      <c r="DWZ37" s="11"/>
      <c r="DXA37" s="11"/>
      <c r="DXB37" s="11"/>
      <c r="DXC37" s="11"/>
      <c r="DXD37" s="11"/>
      <c r="DXE37" s="11"/>
      <c r="DXF37" s="11"/>
      <c r="DXG37" s="11"/>
      <c r="DXH37" s="11"/>
      <c r="DXI37" s="11"/>
      <c r="DXJ37" s="11"/>
      <c r="DXK37" s="11"/>
      <c r="DXL37" s="11"/>
      <c r="DXM37" s="11"/>
      <c r="DXN37" s="11"/>
      <c r="DXO37" s="11"/>
      <c r="DXP37" s="11"/>
      <c r="DXQ37" s="11"/>
      <c r="DXR37" s="11"/>
      <c r="DXS37" s="11"/>
      <c r="DXT37" s="11"/>
      <c r="DXU37" s="11"/>
      <c r="DXV37" s="11"/>
      <c r="DXW37" s="11"/>
      <c r="DXX37" s="11"/>
      <c r="DXY37" s="11"/>
      <c r="DXZ37" s="11"/>
      <c r="DYA37" s="11"/>
      <c r="DYB37" s="11"/>
      <c r="DYC37" s="11"/>
      <c r="DYD37" s="11"/>
      <c r="DYE37" s="11"/>
      <c r="DYF37" s="11"/>
      <c r="DYG37" s="11"/>
      <c r="DYH37" s="11"/>
      <c r="DYI37" s="11"/>
      <c r="DYJ37" s="11"/>
      <c r="DYK37" s="11"/>
      <c r="DYL37" s="11"/>
      <c r="DYM37" s="11"/>
      <c r="DYN37" s="11"/>
      <c r="DYO37" s="11"/>
      <c r="DYP37" s="11"/>
      <c r="DYQ37" s="11"/>
      <c r="DYR37" s="11"/>
      <c r="DYS37" s="11"/>
      <c r="DYT37" s="11"/>
      <c r="DYU37" s="11"/>
      <c r="DYV37" s="11"/>
      <c r="DYW37" s="11"/>
      <c r="DYX37" s="11"/>
      <c r="DYY37" s="11"/>
      <c r="DYZ37" s="11"/>
      <c r="DZA37" s="11"/>
      <c r="DZB37" s="11"/>
      <c r="DZC37" s="11"/>
      <c r="DZD37" s="11"/>
      <c r="DZE37" s="11"/>
      <c r="DZF37" s="11"/>
      <c r="DZG37" s="11"/>
      <c r="DZH37" s="11"/>
      <c r="DZI37" s="11"/>
      <c r="DZJ37" s="11"/>
      <c r="DZK37" s="11"/>
      <c r="DZL37" s="11"/>
      <c r="DZM37" s="11"/>
      <c r="DZN37" s="11"/>
      <c r="DZO37" s="11"/>
      <c r="DZP37" s="11"/>
      <c r="DZQ37" s="11"/>
      <c r="DZR37" s="11"/>
      <c r="DZS37" s="11"/>
      <c r="DZT37" s="11"/>
      <c r="DZU37" s="11"/>
      <c r="DZV37" s="11"/>
      <c r="DZW37" s="11"/>
      <c r="DZX37" s="11"/>
      <c r="DZY37" s="11"/>
      <c r="DZZ37" s="11"/>
      <c r="EAA37" s="11"/>
      <c r="EAB37" s="11"/>
      <c r="EAC37" s="11"/>
      <c r="EAD37" s="11"/>
      <c r="EAE37" s="11"/>
      <c r="EAF37" s="11"/>
      <c r="EAG37" s="11"/>
      <c r="EAH37" s="11"/>
      <c r="EAI37" s="11"/>
      <c r="EAJ37" s="11"/>
      <c r="EAK37" s="11"/>
      <c r="EAL37" s="11"/>
      <c r="EAM37" s="11"/>
      <c r="EAN37" s="11"/>
      <c r="EAO37" s="11"/>
      <c r="EAP37" s="11"/>
      <c r="EAQ37" s="11"/>
      <c r="EAR37" s="11"/>
      <c r="EAS37" s="11"/>
      <c r="EAT37" s="11"/>
      <c r="EAU37" s="11"/>
      <c r="EAV37" s="11"/>
      <c r="EAW37" s="11"/>
      <c r="EAX37" s="11"/>
      <c r="EAY37" s="11"/>
      <c r="EAZ37" s="11"/>
      <c r="EBA37" s="11"/>
      <c r="EBB37" s="11"/>
      <c r="EBC37" s="11"/>
      <c r="EBD37" s="11"/>
      <c r="EBE37" s="11"/>
      <c r="EBF37" s="11"/>
      <c r="EBG37" s="11"/>
      <c r="EBH37" s="11"/>
      <c r="EBI37" s="11"/>
      <c r="EBJ37" s="11"/>
      <c r="EBK37" s="11"/>
      <c r="EBL37" s="11"/>
      <c r="EBM37" s="11"/>
      <c r="EBN37" s="11"/>
      <c r="EBO37" s="11"/>
      <c r="EBP37" s="11"/>
      <c r="EBQ37" s="11"/>
      <c r="EBR37" s="11"/>
      <c r="EBS37" s="11"/>
      <c r="EBT37" s="11"/>
      <c r="EBU37" s="11"/>
      <c r="EBV37" s="11"/>
      <c r="EBW37" s="11"/>
      <c r="EBX37" s="11"/>
      <c r="EBY37" s="11"/>
      <c r="EBZ37" s="11"/>
      <c r="ECA37" s="11"/>
      <c r="ECB37" s="11"/>
      <c r="ECC37" s="11"/>
      <c r="ECD37" s="11"/>
      <c r="ECE37" s="11"/>
      <c r="ECF37" s="11"/>
      <c r="ECG37" s="11"/>
      <c r="ECH37" s="11"/>
      <c r="ECI37" s="11"/>
      <c r="ECJ37" s="11"/>
      <c r="ECK37" s="11"/>
      <c r="ECL37" s="11"/>
      <c r="ECM37" s="11"/>
      <c r="ECN37" s="11"/>
      <c r="ECO37" s="11"/>
      <c r="ECP37" s="11"/>
      <c r="ECQ37" s="11"/>
      <c r="ECR37" s="11"/>
      <c r="ECS37" s="11"/>
      <c r="ECT37" s="11"/>
      <c r="ECU37" s="11"/>
      <c r="ECV37" s="11"/>
      <c r="ECW37" s="11"/>
      <c r="ECX37" s="11"/>
      <c r="ECY37" s="11"/>
      <c r="ECZ37" s="11"/>
      <c r="EDA37" s="11"/>
      <c r="EDB37" s="11"/>
      <c r="EDC37" s="11"/>
      <c r="EDD37" s="11"/>
      <c r="EDE37" s="11"/>
      <c r="EDF37" s="11"/>
      <c r="EDG37" s="11"/>
      <c r="EDH37" s="11"/>
      <c r="EDI37" s="11"/>
      <c r="EDJ37" s="11"/>
      <c r="EDK37" s="11"/>
      <c r="EDL37" s="11"/>
      <c r="EDM37" s="11"/>
      <c r="EDN37" s="11"/>
      <c r="EDO37" s="11"/>
      <c r="EDP37" s="11"/>
      <c r="EDQ37" s="11"/>
      <c r="EDR37" s="11"/>
      <c r="EDS37" s="11"/>
      <c r="EDT37" s="11"/>
      <c r="EDU37" s="11"/>
      <c r="EDV37" s="11"/>
      <c r="EDW37" s="11"/>
      <c r="EDX37" s="11"/>
      <c r="EDY37" s="11"/>
      <c r="EDZ37" s="11"/>
      <c r="EEA37" s="11"/>
      <c r="EEB37" s="11"/>
      <c r="EEC37" s="11"/>
      <c r="EED37" s="11"/>
      <c r="EEE37" s="11"/>
      <c r="EEF37" s="11"/>
      <c r="EEG37" s="11"/>
      <c r="EEH37" s="11"/>
      <c r="EEI37" s="11"/>
      <c r="EEJ37" s="11"/>
      <c r="EEK37" s="11"/>
      <c r="EEL37" s="11"/>
      <c r="EEM37" s="11"/>
      <c r="EEN37" s="11"/>
      <c r="EEO37" s="11"/>
      <c r="EEP37" s="11"/>
      <c r="EEQ37" s="11"/>
      <c r="EER37" s="11"/>
      <c r="EES37" s="11"/>
      <c r="EET37" s="11"/>
      <c r="EEU37" s="11"/>
      <c r="EEV37" s="11"/>
      <c r="EEW37" s="11"/>
      <c r="EEX37" s="11"/>
      <c r="EEY37" s="11"/>
      <c r="EEZ37" s="11"/>
      <c r="EFA37" s="11"/>
      <c r="EFB37" s="11"/>
      <c r="EFC37" s="11"/>
      <c r="EFD37" s="11"/>
      <c r="EFE37" s="11"/>
      <c r="EFF37" s="11"/>
      <c r="EFG37" s="11"/>
      <c r="EFH37" s="11"/>
      <c r="EFI37" s="11"/>
      <c r="EFJ37" s="11"/>
      <c r="EFK37" s="11"/>
      <c r="EFL37" s="11"/>
      <c r="EFM37" s="11"/>
      <c r="EFN37" s="11"/>
      <c r="EFO37" s="11"/>
      <c r="EFP37" s="11"/>
      <c r="EFQ37" s="11"/>
      <c r="EFR37" s="11"/>
      <c r="EFS37" s="11"/>
      <c r="EFT37" s="11"/>
      <c r="EFU37" s="11"/>
      <c r="EFV37" s="11"/>
      <c r="EFW37" s="11"/>
      <c r="EFX37" s="11"/>
      <c r="EFY37" s="11"/>
      <c r="EFZ37" s="11"/>
      <c r="EGA37" s="11"/>
      <c r="EGB37" s="11"/>
      <c r="EGC37" s="11"/>
      <c r="EGD37" s="11"/>
      <c r="EGE37" s="11"/>
      <c r="EGF37" s="11"/>
      <c r="EGG37" s="11"/>
      <c r="EGH37" s="11"/>
      <c r="EGI37" s="11"/>
      <c r="EGJ37" s="11"/>
      <c r="EGK37" s="11"/>
      <c r="EGL37" s="11"/>
      <c r="EGM37" s="11"/>
      <c r="EGN37" s="11"/>
      <c r="EGO37" s="11"/>
      <c r="EGP37" s="11"/>
      <c r="EGQ37" s="11"/>
      <c r="EGR37" s="11"/>
      <c r="EGS37" s="11"/>
      <c r="EGT37" s="11"/>
      <c r="EGU37" s="11"/>
      <c r="EGV37" s="11"/>
      <c r="EGW37" s="11"/>
      <c r="EGX37" s="11"/>
      <c r="EGY37" s="11"/>
      <c r="EGZ37" s="11"/>
      <c r="EHA37" s="11"/>
      <c r="EHB37" s="11"/>
      <c r="EHC37" s="11"/>
      <c r="EHD37" s="11"/>
      <c r="EHE37" s="11"/>
      <c r="EHF37" s="11"/>
      <c r="EHG37" s="11"/>
      <c r="EHH37" s="11"/>
      <c r="EHI37" s="11"/>
      <c r="EHJ37" s="11"/>
      <c r="EHK37" s="11"/>
      <c r="EHL37" s="11"/>
      <c r="EHM37" s="11"/>
      <c r="EHN37" s="11"/>
      <c r="EHO37" s="11"/>
      <c r="EHP37" s="11"/>
      <c r="EHQ37" s="11"/>
      <c r="EHR37" s="11"/>
      <c r="EHS37" s="11"/>
      <c r="EHT37" s="11"/>
      <c r="EHU37" s="11"/>
      <c r="EHV37" s="11"/>
      <c r="EHW37" s="11"/>
      <c r="EHX37" s="11"/>
      <c r="EHY37" s="11"/>
      <c r="EHZ37" s="11"/>
      <c r="EIA37" s="11"/>
      <c r="EIB37" s="11"/>
      <c r="EIC37" s="11"/>
      <c r="EID37" s="11"/>
      <c r="EIE37" s="11"/>
      <c r="EIF37" s="11"/>
      <c r="EIG37" s="11"/>
      <c r="EIH37" s="11"/>
      <c r="EII37" s="11"/>
      <c r="EIJ37" s="11"/>
      <c r="EIK37" s="11"/>
      <c r="EIL37" s="11"/>
      <c r="EIM37" s="11"/>
      <c r="EIN37" s="11"/>
      <c r="EIO37" s="11"/>
      <c r="EIP37" s="11"/>
      <c r="EIQ37" s="11"/>
      <c r="EIR37" s="11"/>
      <c r="EIS37" s="11"/>
      <c r="EIT37" s="11"/>
      <c r="EIU37" s="11"/>
      <c r="EIV37" s="11"/>
      <c r="EIW37" s="11"/>
      <c r="EIX37" s="11"/>
      <c r="EIY37" s="11"/>
      <c r="EIZ37" s="11"/>
      <c r="EJA37" s="11"/>
      <c r="EJB37" s="11"/>
      <c r="EJC37" s="11"/>
      <c r="EJD37" s="11"/>
      <c r="EJE37" s="11"/>
      <c r="EJF37" s="11"/>
      <c r="EJG37" s="11"/>
      <c r="EJH37" s="11"/>
      <c r="EJI37" s="11"/>
      <c r="EJJ37" s="11"/>
      <c r="EJK37" s="11"/>
      <c r="EJL37" s="11"/>
      <c r="EJM37" s="11"/>
      <c r="EJN37" s="11"/>
      <c r="EJO37" s="11"/>
      <c r="EJP37" s="11"/>
      <c r="EJQ37" s="11"/>
      <c r="EJR37" s="11"/>
      <c r="EJS37" s="11"/>
      <c r="EJT37" s="11"/>
      <c r="EJU37" s="11"/>
      <c r="EJV37" s="11"/>
      <c r="EJW37" s="11"/>
      <c r="EJX37" s="11"/>
      <c r="EJY37" s="11"/>
      <c r="EJZ37" s="11"/>
      <c r="EKA37" s="11"/>
      <c r="EKB37" s="11"/>
      <c r="EKC37" s="11"/>
      <c r="EKD37" s="11"/>
      <c r="EKE37" s="11"/>
      <c r="EKF37" s="11"/>
      <c r="EKG37" s="11"/>
      <c r="EKH37" s="11"/>
      <c r="EKI37" s="11"/>
      <c r="EKJ37" s="11"/>
      <c r="EKK37" s="11"/>
      <c r="EKL37" s="11"/>
      <c r="EKM37" s="11"/>
      <c r="EKN37" s="11"/>
      <c r="EKO37" s="11"/>
      <c r="EKP37" s="11"/>
      <c r="EKQ37" s="11"/>
      <c r="EKR37" s="11"/>
      <c r="EKS37" s="11"/>
      <c r="EKT37" s="11"/>
      <c r="EKU37" s="11"/>
      <c r="EKV37" s="11"/>
      <c r="EKW37" s="11"/>
      <c r="EKX37" s="11"/>
      <c r="EKY37" s="11"/>
      <c r="EKZ37" s="11"/>
      <c r="ELA37" s="11"/>
      <c r="ELB37" s="11"/>
      <c r="ELC37" s="11"/>
      <c r="ELD37" s="11"/>
      <c r="ELE37" s="11"/>
      <c r="ELF37" s="11"/>
      <c r="ELG37" s="11"/>
      <c r="ELH37" s="11"/>
      <c r="ELI37" s="11"/>
      <c r="ELJ37" s="11"/>
      <c r="ELK37" s="11"/>
      <c r="ELL37" s="11"/>
      <c r="ELM37" s="11"/>
      <c r="ELN37" s="11"/>
      <c r="ELO37" s="11"/>
      <c r="ELP37" s="11"/>
      <c r="ELQ37" s="11"/>
      <c r="ELR37" s="11"/>
      <c r="ELS37" s="11"/>
      <c r="ELT37" s="11"/>
      <c r="ELU37" s="11"/>
      <c r="ELV37" s="11"/>
      <c r="ELW37" s="11"/>
      <c r="ELX37" s="11"/>
      <c r="ELY37" s="11"/>
      <c r="ELZ37" s="11"/>
      <c r="EMA37" s="11"/>
      <c r="EMB37" s="11"/>
      <c r="EMC37" s="11"/>
      <c r="EMD37" s="11"/>
      <c r="EME37" s="11"/>
      <c r="EMF37" s="11"/>
      <c r="EMG37" s="11"/>
      <c r="EMH37" s="11"/>
      <c r="EMI37" s="11"/>
      <c r="EMJ37" s="11"/>
      <c r="EMK37" s="11"/>
      <c r="EML37" s="11"/>
      <c r="EMM37" s="11"/>
      <c r="EMN37" s="11"/>
      <c r="EMO37" s="11"/>
      <c r="EMP37" s="11"/>
      <c r="EMQ37" s="11"/>
      <c r="EMR37" s="11"/>
      <c r="EMS37" s="11"/>
      <c r="EMT37" s="11"/>
      <c r="EMU37" s="11"/>
      <c r="EMV37" s="11"/>
      <c r="EMW37" s="11"/>
      <c r="EMX37" s="11"/>
      <c r="EMY37" s="11"/>
      <c r="EMZ37" s="11"/>
      <c r="ENA37" s="11"/>
      <c r="ENB37" s="11"/>
      <c r="ENC37" s="11"/>
      <c r="END37" s="11"/>
      <c r="ENE37" s="11"/>
      <c r="ENF37" s="11"/>
      <c r="ENG37" s="11"/>
      <c r="ENH37" s="11"/>
      <c r="ENI37" s="11"/>
      <c r="ENJ37" s="11"/>
      <c r="ENK37" s="11"/>
      <c r="ENL37" s="11"/>
      <c r="ENM37" s="11"/>
      <c r="ENN37" s="11"/>
      <c r="ENO37" s="11"/>
      <c r="ENP37" s="11"/>
      <c r="ENQ37" s="11"/>
      <c r="ENR37" s="11"/>
      <c r="ENS37" s="11"/>
      <c r="ENT37" s="11"/>
      <c r="ENU37" s="11"/>
      <c r="ENV37" s="11"/>
      <c r="ENW37" s="11"/>
      <c r="ENX37" s="11"/>
      <c r="ENY37" s="11"/>
      <c r="ENZ37" s="11"/>
      <c r="EOA37" s="11"/>
      <c r="EOB37" s="11"/>
      <c r="EOC37" s="11"/>
      <c r="EOD37" s="11"/>
      <c r="EOE37" s="11"/>
      <c r="EOF37" s="11"/>
      <c r="EOG37" s="11"/>
      <c r="EOH37" s="11"/>
      <c r="EOI37" s="11"/>
      <c r="EOJ37" s="11"/>
      <c r="EOK37" s="11"/>
      <c r="EOL37" s="11"/>
      <c r="EOM37" s="11"/>
      <c r="EON37" s="11"/>
      <c r="EOO37" s="11"/>
      <c r="EOP37" s="11"/>
      <c r="EOQ37" s="11"/>
      <c r="EOR37" s="11"/>
      <c r="EOS37" s="11"/>
      <c r="EOT37" s="11"/>
      <c r="EOU37" s="11"/>
      <c r="EOV37" s="11"/>
      <c r="EOW37" s="11"/>
      <c r="EOX37" s="11"/>
      <c r="EOY37" s="11"/>
      <c r="EOZ37" s="11"/>
      <c r="EPA37" s="11"/>
      <c r="EPB37" s="11"/>
      <c r="EPC37" s="11"/>
      <c r="EPD37" s="11"/>
      <c r="EPE37" s="11"/>
      <c r="EPF37" s="11"/>
      <c r="EPG37" s="11"/>
      <c r="EPH37" s="11"/>
      <c r="EPI37" s="11"/>
      <c r="EPJ37" s="11"/>
      <c r="EPK37" s="11"/>
      <c r="EPL37" s="11"/>
      <c r="EPM37" s="11"/>
      <c r="EPN37" s="11"/>
      <c r="EPO37" s="11"/>
      <c r="EPP37" s="11"/>
      <c r="EPQ37" s="11"/>
      <c r="EPR37" s="11"/>
      <c r="EPS37" s="11"/>
      <c r="EPT37" s="11"/>
      <c r="EPU37" s="11"/>
      <c r="EPV37" s="11"/>
      <c r="EPW37" s="11"/>
      <c r="EPX37" s="11"/>
      <c r="EPY37" s="11"/>
      <c r="EPZ37" s="11"/>
      <c r="EQA37" s="11"/>
      <c r="EQB37" s="11"/>
      <c r="EQC37" s="11"/>
      <c r="EQD37" s="11"/>
      <c r="EQE37" s="11"/>
      <c r="EQF37" s="11"/>
      <c r="EQG37" s="11"/>
      <c r="EQH37" s="11"/>
      <c r="EQI37" s="11"/>
      <c r="EQJ37" s="11"/>
      <c r="EQK37" s="11"/>
      <c r="EQL37" s="11"/>
      <c r="EQM37" s="11"/>
      <c r="EQN37" s="11"/>
      <c r="EQO37" s="11"/>
      <c r="EQP37" s="11"/>
      <c r="EQQ37" s="11"/>
      <c r="EQR37" s="11"/>
      <c r="EQS37" s="11"/>
      <c r="EQT37" s="11"/>
      <c r="EQU37" s="11"/>
      <c r="EQV37" s="11"/>
      <c r="EQW37" s="11"/>
      <c r="EQX37" s="11"/>
      <c r="EQY37" s="11"/>
      <c r="EQZ37" s="11"/>
      <c r="ERA37" s="11"/>
      <c r="ERB37" s="11"/>
      <c r="ERC37" s="11"/>
      <c r="ERD37" s="11"/>
      <c r="ERE37" s="11"/>
      <c r="ERF37" s="11"/>
      <c r="ERG37" s="11"/>
      <c r="ERH37" s="11"/>
      <c r="ERI37" s="11"/>
      <c r="ERJ37" s="11"/>
      <c r="ERK37" s="11"/>
      <c r="ERL37" s="11"/>
      <c r="ERM37" s="11"/>
      <c r="ERN37" s="11"/>
      <c r="ERO37" s="11"/>
      <c r="ERP37" s="11"/>
      <c r="ERQ37" s="11"/>
      <c r="ERR37" s="11"/>
      <c r="ERS37" s="11"/>
      <c r="ERT37" s="11"/>
      <c r="ERU37" s="11"/>
      <c r="ERV37" s="11"/>
      <c r="ERW37" s="11"/>
      <c r="ERX37" s="11"/>
      <c r="ERY37" s="11"/>
      <c r="ERZ37" s="11"/>
      <c r="ESA37" s="11"/>
      <c r="ESB37" s="11"/>
      <c r="ESC37" s="11"/>
      <c r="ESD37" s="11"/>
      <c r="ESE37" s="11"/>
      <c r="ESF37" s="11"/>
      <c r="ESG37" s="11"/>
      <c r="ESH37" s="11"/>
      <c r="ESI37" s="11"/>
      <c r="ESJ37" s="11"/>
      <c r="ESK37" s="11"/>
      <c r="ESL37" s="11"/>
      <c r="ESM37" s="11"/>
      <c r="ESN37" s="11"/>
      <c r="ESO37" s="11"/>
      <c r="ESP37" s="11"/>
      <c r="ESQ37" s="11"/>
      <c r="ESR37" s="11"/>
      <c r="ESS37" s="11"/>
      <c r="EST37" s="11"/>
      <c r="ESU37" s="11"/>
      <c r="ESV37" s="11"/>
      <c r="ESW37" s="11"/>
      <c r="ESX37" s="11"/>
      <c r="ESY37" s="11"/>
      <c r="ESZ37" s="11"/>
      <c r="ETA37" s="11"/>
      <c r="ETB37" s="11"/>
      <c r="ETC37" s="11"/>
      <c r="ETD37" s="11"/>
      <c r="ETE37" s="11"/>
      <c r="ETF37" s="11"/>
      <c r="ETG37" s="11"/>
      <c r="ETH37" s="11"/>
      <c r="ETI37" s="11"/>
      <c r="ETJ37" s="11"/>
      <c r="ETK37" s="11"/>
      <c r="ETL37" s="11"/>
      <c r="ETM37" s="11"/>
      <c r="ETN37" s="11"/>
      <c r="ETO37" s="11"/>
      <c r="ETP37" s="11"/>
      <c r="ETQ37" s="11"/>
      <c r="ETR37" s="11"/>
      <c r="ETS37" s="11"/>
      <c r="ETT37" s="11"/>
      <c r="ETU37" s="11"/>
      <c r="ETV37" s="11"/>
      <c r="ETW37" s="11"/>
      <c r="ETX37" s="11"/>
      <c r="ETY37" s="11"/>
      <c r="ETZ37" s="11"/>
      <c r="EUA37" s="11"/>
      <c r="EUB37" s="11"/>
      <c r="EUC37" s="11"/>
      <c r="EUD37" s="11"/>
      <c r="EUE37" s="11"/>
      <c r="EUF37" s="11"/>
      <c r="EUG37" s="11"/>
      <c r="EUH37" s="11"/>
      <c r="EUI37" s="11"/>
      <c r="EUJ37" s="11"/>
      <c r="EUK37" s="11"/>
      <c r="EUL37" s="11"/>
      <c r="EUM37" s="11"/>
      <c r="EUN37" s="11"/>
      <c r="EUO37" s="11"/>
      <c r="EUP37" s="11"/>
      <c r="EUQ37" s="11"/>
      <c r="EUR37" s="11"/>
      <c r="EUS37" s="11"/>
      <c r="EUT37" s="11"/>
      <c r="EUU37" s="11"/>
      <c r="EUV37" s="11"/>
      <c r="EUW37" s="11"/>
      <c r="EUX37" s="11"/>
      <c r="EUY37" s="11"/>
      <c r="EUZ37" s="11"/>
      <c r="EVA37" s="11"/>
      <c r="EVB37" s="11"/>
      <c r="EVC37" s="11"/>
      <c r="EVD37" s="11"/>
      <c r="EVE37" s="11"/>
      <c r="EVF37" s="11"/>
      <c r="EVG37" s="11"/>
      <c r="EVH37" s="11"/>
      <c r="EVI37" s="11"/>
      <c r="EVJ37" s="11"/>
      <c r="EVK37" s="11"/>
      <c r="EVL37" s="11"/>
      <c r="EVM37" s="11"/>
      <c r="EVN37" s="11"/>
      <c r="EVO37" s="11"/>
      <c r="EVP37" s="11"/>
      <c r="EVQ37" s="11"/>
      <c r="EVR37" s="11"/>
      <c r="EVS37" s="11"/>
      <c r="EVT37" s="11"/>
      <c r="EVU37" s="11"/>
      <c r="EVV37" s="11"/>
      <c r="EVW37" s="11"/>
      <c r="EVX37" s="11"/>
      <c r="EVY37" s="11"/>
      <c r="EVZ37" s="11"/>
      <c r="EWA37" s="11"/>
      <c r="EWB37" s="11"/>
      <c r="EWC37" s="11"/>
      <c r="EWD37" s="11"/>
      <c r="EWE37" s="11"/>
      <c r="EWF37" s="11"/>
      <c r="EWG37" s="11"/>
      <c r="EWH37" s="11"/>
      <c r="EWI37" s="11"/>
      <c r="EWJ37" s="11"/>
      <c r="EWK37" s="11"/>
      <c r="EWL37" s="11"/>
      <c r="EWM37" s="11"/>
      <c r="EWN37" s="11"/>
      <c r="EWO37" s="11"/>
      <c r="EWP37" s="11"/>
      <c r="EWQ37" s="11"/>
      <c r="EWR37" s="11"/>
      <c r="EWS37" s="11"/>
      <c r="EWT37" s="11"/>
      <c r="EWU37" s="11"/>
      <c r="EWV37" s="11"/>
      <c r="EWW37" s="11"/>
      <c r="EWX37" s="11"/>
      <c r="EWY37" s="11"/>
      <c r="EWZ37" s="11"/>
      <c r="EXA37" s="11"/>
      <c r="EXB37" s="11"/>
      <c r="EXC37" s="11"/>
      <c r="EXD37" s="11"/>
      <c r="EXE37" s="11"/>
      <c r="EXF37" s="11"/>
      <c r="EXG37" s="11"/>
      <c r="EXH37" s="11"/>
      <c r="EXI37" s="11"/>
      <c r="EXJ37" s="11"/>
      <c r="EXK37" s="11"/>
      <c r="EXL37" s="11"/>
      <c r="EXM37" s="11"/>
      <c r="EXN37" s="11"/>
      <c r="EXO37" s="11"/>
      <c r="EXP37" s="11"/>
      <c r="EXQ37" s="11"/>
      <c r="EXR37" s="11"/>
      <c r="EXS37" s="11"/>
      <c r="EXT37" s="11"/>
      <c r="EXU37" s="11"/>
      <c r="EXV37" s="11"/>
      <c r="EXW37" s="11"/>
      <c r="EXX37" s="11"/>
      <c r="EXY37" s="11"/>
      <c r="EXZ37" s="11"/>
      <c r="EYA37" s="11"/>
      <c r="EYB37" s="11"/>
      <c r="EYC37" s="11"/>
      <c r="EYD37" s="11"/>
      <c r="EYE37" s="11"/>
      <c r="EYF37" s="11"/>
      <c r="EYG37" s="11"/>
      <c r="EYH37" s="11"/>
      <c r="EYI37" s="11"/>
      <c r="EYJ37" s="11"/>
      <c r="EYK37" s="11"/>
      <c r="EYL37" s="11"/>
      <c r="EYM37" s="11"/>
      <c r="EYN37" s="11"/>
      <c r="EYO37" s="11"/>
      <c r="EYP37" s="11"/>
      <c r="EYQ37" s="11"/>
      <c r="EYR37" s="11"/>
      <c r="EYS37" s="11"/>
      <c r="EYT37" s="11"/>
      <c r="EYU37" s="11"/>
      <c r="EYV37" s="11"/>
      <c r="EYW37" s="11"/>
      <c r="EYX37" s="11"/>
      <c r="EYY37" s="11"/>
      <c r="EYZ37" s="11"/>
      <c r="EZA37" s="11"/>
      <c r="EZB37" s="11"/>
      <c r="EZC37" s="11"/>
      <c r="EZD37" s="11"/>
      <c r="EZE37" s="11"/>
      <c r="EZF37" s="11"/>
      <c r="EZG37" s="11"/>
      <c r="EZH37" s="11"/>
      <c r="EZI37" s="11"/>
      <c r="EZJ37" s="11"/>
      <c r="EZK37" s="11"/>
      <c r="EZL37" s="11"/>
      <c r="EZM37" s="11"/>
      <c r="EZN37" s="11"/>
      <c r="EZO37" s="11"/>
      <c r="EZP37" s="11"/>
      <c r="EZQ37" s="11"/>
      <c r="EZR37" s="11"/>
      <c r="EZS37" s="11"/>
      <c r="EZT37" s="11"/>
      <c r="EZU37" s="11"/>
      <c r="EZV37" s="11"/>
      <c r="EZW37" s="11"/>
      <c r="EZX37" s="11"/>
      <c r="EZY37" s="11"/>
      <c r="EZZ37" s="11"/>
      <c r="FAA37" s="11"/>
      <c r="FAB37" s="11"/>
      <c r="FAC37" s="11"/>
      <c r="FAD37" s="11"/>
      <c r="FAE37" s="11"/>
      <c r="FAF37" s="11"/>
      <c r="FAG37" s="11"/>
      <c r="FAH37" s="11"/>
      <c r="FAI37" s="11"/>
      <c r="FAJ37" s="11"/>
      <c r="FAK37" s="11"/>
      <c r="FAL37" s="11"/>
      <c r="FAM37" s="11"/>
      <c r="FAN37" s="11"/>
      <c r="FAO37" s="11"/>
      <c r="FAP37" s="11"/>
      <c r="FAQ37" s="11"/>
      <c r="FAR37" s="11"/>
      <c r="FAS37" s="11"/>
      <c r="FAT37" s="11"/>
      <c r="FAU37" s="11"/>
      <c r="FAV37" s="11"/>
      <c r="FAW37" s="11"/>
      <c r="FAX37" s="11"/>
      <c r="FAY37" s="11"/>
      <c r="FAZ37" s="11"/>
      <c r="FBA37" s="11"/>
      <c r="FBB37" s="11"/>
      <c r="FBC37" s="11"/>
      <c r="FBD37" s="11"/>
      <c r="FBE37" s="11"/>
      <c r="FBF37" s="11"/>
      <c r="FBG37" s="11"/>
      <c r="FBH37" s="11"/>
      <c r="FBI37" s="11"/>
      <c r="FBJ37" s="11"/>
      <c r="FBK37" s="11"/>
      <c r="FBL37" s="11"/>
      <c r="FBM37" s="11"/>
      <c r="FBN37" s="11"/>
      <c r="FBO37" s="11"/>
      <c r="FBP37" s="11"/>
      <c r="FBQ37" s="11"/>
      <c r="FBR37" s="11"/>
      <c r="FBS37" s="11"/>
      <c r="FBT37" s="11"/>
      <c r="FBU37" s="11"/>
      <c r="FBV37" s="11"/>
      <c r="FBW37" s="11"/>
      <c r="FBX37" s="11"/>
      <c r="FBY37" s="11"/>
      <c r="FBZ37" s="11"/>
      <c r="FCA37" s="11"/>
      <c r="FCB37" s="11"/>
      <c r="FCC37" s="11"/>
      <c r="FCD37" s="11"/>
      <c r="FCE37" s="11"/>
      <c r="FCF37" s="11"/>
      <c r="FCG37" s="11"/>
      <c r="FCH37" s="11"/>
      <c r="FCI37" s="11"/>
      <c r="FCJ37" s="11"/>
      <c r="FCK37" s="11"/>
      <c r="FCL37" s="11"/>
      <c r="FCM37" s="11"/>
      <c r="FCN37" s="11"/>
      <c r="FCO37" s="11"/>
      <c r="FCP37" s="11"/>
      <c r="FCQ37" s="11"/>
      <c r="FCR37" s="11"/>
      <c r="FCS37" s="11"/>
      <c r="FCT37" s="11"/>
      <c r="FCU37" s="11"/>
      <c r="FCV37" s="11"/>
      <c r="FCW37" s="11"/>
      <c r="FCX37" s="11"/>
      <c r="FCY37" s="11"/>
      <c r="FCZ37" s="11"/>
      <c r="FDA37" s="11"/>
      <c r="FDB37" s="11"/>
      <c r="FDC37" s="11"/>
      <c r="FDD37" s="11"/>
      <c r="FDE37" s="11"/>
      <c r="FDF37" s="11"/>
      <c r="FDG37" s="11"/>
      <c r="FDH37" s="11"/>
      <c r="FDI37" s="11"/>
      <c r="FDJ37" s="11"/>
      <c r="FDK37" s="11"/>
      <c r="FDL37" s="11"/>
      <c r="FDM37" s="11"/>
      <c r="FDN37" s="11"/>
      <c r="FDO37" s="11"/>
      <c r="FDP37" s="11"/>
      <c r="FDQ37" s="11"/>
      <c r="FDR37" s="11"/>
      <c r="FDS37" s="11"/>
      <c r="FDT37" s="11"/>
      <c r="FDU37" s="11"/>
      <c r="FDV37" s="11"/>
      <c r="FDW37" s="11"/>
      <c r="FDX37" s="11"/>
      <c r="FDY37" s="11"/>
      <c r="FDZ37" s="11"/>
      <c r="FEA37" s="11"/>
      <c r="FEB37" s="11"/>
      <c r="FEC37" s="11"/>
      <c r="FED37" s="11"/>
      <c r="FEE37" s="11"/>
      <c r="FEF37" s="11"/>
      <c r="FEG37" s="11"/>
      <c r="FEH37" s="11"/>
      <c r="FEI37" s="11"/>
      <c r="FEJ37" s="11"/>
      <c r="FEK37" s="11"/>
      <c r="FEL37" s="11"/>
      <c r="FEM37" s="11"/>
      <c r="FEN37" s="11"/>
      <c r="FEO37" s="11"/>
      <c r="FEP37" s="11"/>
      <c r="FEQ37" s="11"/>
      <c r="FER37" s="11"/>
      <c r="FES37" s="11"/>
      <c r="FET37" s="11"/>
      <c r="FEU37" s="11"/>
      <c r="FEV37" s="11"/>
      <c r="FEW37" s="11"/>
      <c r="FEX37" s="11"/>
      <c r="FEY37" s="11"/>
      <c r="FEZ37" s="11"/>
      <c r="FFA37" s="11"/>
      <c r="FFB37" s="11"/>
      <c r="FFC37" s="11"/>
      <c r="FFD37" s="11"/>
      <c r="FFE37" s="11"/>
      <c r="FFF37" s="11"/>
      <c r="FFG37" s="11"/>
      <c r="FFH37" s="11"/>
      <c r="FFI37" s="11"/>
      <c r="FFJ37" s="11"/>
      <c r="FFK37" s="11"/>
      <c r="FFL37" s="11"/>
      <c r="FFM37" s="11"/>
      <c r="FFN37" s="11"/>
      <c r="FFO37" s="11"/>
      <c r="FFP37" s="11"/>
      <c r="FFQ37" s="11"/>
      <c r="FFR37" s="11"/>
      <c r="FFS37" s="11"/>
      <c r="FFT37" s="11"/>
      <c r="FFU37" s="11"/>
      <c r="FFV37" s="11"/>
      <c r="FFW37" s="11"/>
      <c r="FFX37" s="11"/>
      <c r="FFY37" s="11"/>
      <c r="FFZ37" s="11"/>
      <c r="FGA37" s="11"/>
      <c r="FGB37" s="11"/>
      <c r="FGC37" s="11"/>
      <c r="FGD37" s="11"/>
      <c r="FGE37" s="11"/>
      <c r="FGF37" s="11"/>
      <c r="FGG37" s="11"/>
      <c r="FGH37" s="11"/>
      <c r="FGI37" s="11"/>
      <c r="FGJ37" s="11"/>
      <c r="FGK37" s="11"/>
      <c r="FGL37" s="11"/>
      <c r="FGM37" s="11"/>
      <c r="FGN37" s="11"/>
      <c r="FGO37" s="11"/>
      <c r="FGP37" s="11"/>
      <c r="FGQ37" s="11"/>
      <c r="FGR37" s="11"/>
      <c r="FGS37" s="11"/>
      <c r="FGT37" s="11"/>
      <c r="FGU37" s="11"/>
      <c r="FGV37" s="11"/>
      <c r="FGW37" s="11"/>
      <c r="FGX37" s="11"/>
      <c r="FGY37" s="11"/>
      <c r="FGZ37" s="11"/>
      <c r="FHA37" s="11"/>
      <c r="FHB37" s="11"/>
      <c r="FHC37" s="11"/>
      <c r="FHD37" s="11"/>
      <c r="FHE37" s="11"/>
      <c r="FHF37" s="11"/>
      <c r="FHG37" s="11"/>
      <c r="FHH37" s="11"/>
      <c r="FHI37" s="11"/>
      <c r="FHJ37" s="11"/>
      <c r="FHK37" s="11"/>
      <c r="FHL37" s="11"/>
      <c r="FHM37" s="11"/>
      <c r="FHN37" s="11"/>
      <c r="FHO37" s="11"/>
      <c r="FHP37" s="11"/>
      <c r="FHQ37" s="11"/>
      <c r="FHR37" s="11"/>
      <c r="FHS37" s="11"/>
      <c r="FHT37" s="11"/>
      <c r="FHU37" s="11"/>
      <c r="FHV37" s="11"/>
      <c r="FHW37" s="11"/>
      <c r="FHX37" s="11"/>
      <c r="FHY37" s="11"/>
      <c r="FHZ37" s="11"/>
      <c r="FIA37" s="11"/>
      <c r="FIB37" s="11"/>
      <c r="FIC37" s="11"/>
      <c r="FID37" s="11"/>
      <c r="FIE37" s="11"/>
      <c r="FIF37" s="11"/>
      <c r="FIG37" s="11"/>
      <c r="FIH37" s="11"/>
      <c r="FII37" s="11"/>
      <c r="FIJ37" s="11"/>
      <c r="FIK37" s="11"/>
      <c r="FIL37" s="11"/>
      <c r="FIM37" s="11"/>
      <c r="FIN37" s="11"/>
      <c r="FIO37" s="11"/>
      <c r="FIP37" s="11"/>
      <c r="FIQ37" s="11"/>
      <c r="FIR37" s="11"/>
      <c r="FIS37" s="11"/>
      <c r="FIT37" s="11"/>
      <c r="FIU37" s="11"/>
      <c r="FIV37" s="11"/>
      <c r="FIW37" s="11"/>
      <c r="FIX37" s="11"/>
      <c r="FIY37" s="11"/>
      <c r="FIZ37" s="11"/>
      <c r="FJA37" s="11"/>
      <c r="FJB37" s="11"/>
      <c r="FJC37" s="11"/>
      <c r="FJD37" s="11"/>
      <c r="FJE37" s="11"/>
      <c r="FJF37" s="11"/>
      <c r="FJG37" s="11"/>
      <c r="FJH37" s="11"/>
      <c r="FJI37" s="11"/>
      <c r="FJJ37" s="11"/>
      <c r="FJK37" s="11"/>
      <c r="FJL37" s="11"/>
      <c r="FJM37" s="11"/>
      <c r="FJN37" s="11"/>
      <c r="FJO37" s="11"/>
      <c r="FJP37" s="11"/>
      <c r="FJQ37" s="11"/>
      <c r="FJR37" s="11"/>
      <c r="FJS37" s="11"/>
      <c r="FJT37" s="11"/>
      <c r="FJU37" s="11"/>
      <c r="FJV37" s="11"/>
      <c r="FJW37" s="11"/>
      <c r="FJX37" s="11"/>
      <c r="FJY37" s="11"/>
      <c r="FJZ37" s="11"/>
      <c r="FKA37" s="11"/>
      <c r="FKB37" s="11"/>
      <c r="FKC37" s="11"/>
      <c r="FKD37" s="11"/>
      <c r="FKE37" s="11"/>
      <c r="FKF37" s="11"/>
      <c r="FKG37" s="11"/>
      <c r="FKH37" s="11"/>
      <c r="FKI37" s="11"/>
      <c r="FKJ37" s="11"/>
      <c r="FKK37" s="11"/>
      <c r="FKL37" s="11"/>
      <c r="FKM37" s="11"/>
      <c r="FKN37" s="11"/>
      <c r="FKO37" s="11"/>
      <c r="FKP37" s="11"/>
      <c r="FKQ37" s="11"/>
      <c r="FKR37" s="11"/>
      <c r="FKS37" s="11"/>
      <c r="FKT37" s="11"/>
      <c r="FKU37" s="11"/>
      <c r="FKV37" s="11"/>
      <c r="FKW37" s="11"/>
      <c r="FKX37" s="11"/>
      <c r="FKY37" s="11"/>
      <c r="FKZ37" s="11"/>
      <c r="FLA37" s="11"/>
      <c r="FLB37" s="11"/>
      <c r="FLC37" s="11"/>
      <c r="FLD37" s="11"/>
      <c r="FLE37" s="11"/>
      <c r="FLF37" s="11"/>
      <c r="FLG37" s="11"/>
      <c r="FLH37" s="11"/>
      <c r="FLI37" s="11"/>
      <c r="FLJ37" s="11"/>
      <c r="FLK37" s="11"/>
      <c r="FLL37" s="11"/>
      <c r="FLM37" s="11"/>
      <c r="FLN37" s="11"/>
      <c r="FLO37" s="11"/>
      <c r="FLP37" s="11"/>
      <c r="FLQ37" s="11"/>
      <c r="FLR37" s="11"/>
      <c r="FLS37" s="11"/>
      <c r="FLT37" s="11"/>
      <c r="FLU37" s="11"/>
      <c r="FLV37" s="11"/>
      <c r="FLW37" s="11"/>
      <c r="FLX37" s="11"/>
      <c r="FLY37" s="11"/>
      <c r="FLZ37" s="11"/>
      <c r="FMA37" s="11"/>
      <c r="FMB37" s="11"/>
      <c r="FMC37" s="11"/>
      <c r="FMD37" s="11"/>
      <c r="FME37" s="11"/>
      <c r="FMF37" s="11"/>
      <c r="FMG37" s="11"/>
      <c r="FMH37" s="11"/>
      <c r="FMI37" s="11"/>
      <c r="FMJ37" s="11"/>
      <c r="FMK37" s="11"/>
      <c r="FML37" s="11"/>
      <c r="FMM37" s="11"/>
      <c r="FMN37" s="11"/>
      <c r="FMO37" s="11"/>
      <c r="FMP37" s="11"/>
      <c r="FMQ37" s="11"/>
      <c r="FMR37" s="11"/>
      <c r="FMS37" s="11"/>
      <c r="FMT37" s="11"/>
      <c r="FMU37" s="11"/>
      <c r="FMV37" s="11"/>
      <c r="FMW37" s="11"/>
      <c r="FMX37" s="11"/>
      <c r="FMY37" s="11"/>
      <c r="FMZ37" s="11"/>
      <c r="FNA37" s="11"/>
      <c r="FNB37" s="11"/>
      <c r="FNC37" s="11"/>
      <c r="FND37" s="11"/>
      <c r="FNE37" s="11"/>
      <c r="FNF37" s="11"/>
      <c r="FNG37" s="11"/>
      <c r="FNH37" s="11"/>
      <c r="FNI37" s="11"/>
      <c r="FNJ37" s="11"/>
      <c r="FNK37" s="11"/>
      <c r="FNL37" s="11"/>
      <c r="FNM37" s="11"/>
      <c r="FNN37" s="11"/>
      <c r="FNO37" s="11"/>
      <c r="FNP37" s="11"/>
      <c r="FNQ37" s="11"/>
      <c r="FNR37" s="11"/>
      <c r="FNS37" s="11"/>
      <c r="FNT37" s="11"/>
      <c r="FNU37" s="11"/>
      <c r="FNV37" s="11"/>
      <c r="FNW37" s="11"/>
      <c r="FNX37" s="11"/>
      <c r="FNY37" s="11"/>
      <c r="FNZ37" s="11"/>
      <c r="FOA37" s="11"/>
      <c r="FOB37" s="11"/>
      <c r="FOC37" s="11"/>
      <c r="FOD37" s="11"/>
      <c r="FOE37" s="11"/>
      <c r="FOF37" s="11"/>
      <c r="FOG37" s="11"/>
      <c r="FOH37" s="11"/>
      <c r="FOI37" s="11"/>
      <c r="FOJ37" s="11"/>
      <c r="FOK37" s="11"/>
      <c r="FOL37" s="11"/>
      <c r="FOM37" s="11"/>
      <c r="FON37" s="11"/>
      <c r="FOO37" s="11"/>
      <c r="FOP37" s="11"/>
      <c r="FOQ37" s="11"/>
      <c r="FOR37" s="11"/>
      <c r="FOS37" s="11"/>
      <c r="FOT37" s="11"/>
      <c r="FOU37" s="11"/>
      <c r="FOV37" s="11"/>
      <c r="FOW37" s="11"/>
      <c r="FOX37" s="11"/>
      <c r="FOY37" s="11"/>
      <c r="FOZ37" s="11"/>
      <c r="FPA37" s="11"/>
      <c r="FPB37" s="11"/>
      <c r="FPC37" s="11"/>
      <c r="FPD37" s="11"/>
      <c r="FPE37" s="11"/>
      <c r="FPF37" s="11"/>
      <c r="FPG37" s="11"/>
      <c r="FPH37" s="11"/>
      <c r="FPI37" s="11"/>
      <c r="FPJ37" s="11"/>
      <c r="FPK37" s="11"/>
      <c r="FPL37" s="11"/>
      <c r="FPM37" s="11"/>
      <c r="FPN37" s="11"/>
      <c r="FPO37" s="11"/>
      <c r="FPP37" s="11"/>
      <c r="FPQ37" s="11"/>
      <c r="FPR37" s="11"/>
      <c r="FPS37" s="11"/>
      <c r="FPT37" s="11"/>
      <c r="FPU37" s="11"/>
      <c r="FPV37" s="11"/>
      <c r="FPW37" s="11"/>
      <c r="FPX37" s="11"/>
      <c r="FPY37" s="11"/>
      <c r="FPZ37" s="11"/>
      <c r="FQA37" s="11"/>
      <c r="FQB37" s="11"/>
      <c r="FQC37" s="11"/>
      <c r="FQD37" s="11"/>
      <c r="FQE37" s="11"/>
      <c r="FQF37" s="11"/>
      <c r="FQG37" s="11"/>
      <c r="FQH37" s="11"/>
      <c r="FQI37" s="11"/>
      <c r="FQJ37" s="11"/>
      <c r="FQK37" s="11"/>
      <c r="FQL37" s="11"/>
      <c r="FQM37" s="11"/>
      <c r="FQN37" s="11"/>
      <c r="FQO37" s="11"/>
      <c r="FQP37" s="11"/>
      <c r="FQQ37" s="11"/>
      <c r="FQR37" s="11"/>
      <c r="FQS37" s="11"/>
      <c r="FQT37" s="11"/>
      <c r="FQU37" s="11"/>
      <c r="FQV37" s="11"/>
      <c r="FQW37" s="11"/>
      <c r="FQX37" s="11"/>
      <c r="FQY37" s="11"/>
      <c r="FQZ37" s="11"/>
      <c r="FRA37" s="11"/>
      <c r="FRB37" s="11"/>
      <c r="FRC37" s="11"/>
      <c r="FRD37" s="11"/>
      <c r="FRE37" s="11"/>
      <c r="FRF37" s="11"/>
      <c r="FRG37" s="11"/>
      <c r="FRH37" s="11"/>
      <c r="FRI37" s="11"/>
      <c r="FRJ37" s="11"/>
      <c r="FRK37" s="11"/>
      <c r="FRL37" s="11"/>
      <c r="FRM37" s="11"/>
      <c r="FRN37" s="11"/>
      <c r="FRO37" s="11"/>
      <c r="FRP37" s="11"/>
      <c r="FRQ37" s="11"/>
      <c r="FRR37" s="11"/>
      <c r="FRS37" s="11"/>
      <c r="FRT37" s="11"/>
      <c r="FRU37" s="11"/>
      <c r="FRV37" s="11"/>
      <c r="FRW37" s="11"/>
      <c r="FRX37" s="11"/>
      <c r="FRY37" s="11"/>
      <c r="FRZ37" s="11"/>
      <c r="FSA37" s="11"/>
      <c r="FSB37" s="11"/>
      <c r="FSC37" s="11"/>
      <c r="FSD37" s="11"/>
      <c r="FSE37" s="11"/>
      <c r="FSF37" s="11"/>
      <c r="FSG37" s="11"/>
      <c r="FSH37" s="11"/>
      <c r="FSI37" s="11"/>
      <c r="FSJ37" s="11"/>
      <c r="FSK37" s="11"/>
      <c r="FSL37" s="11"/>
      <c r="FSM37" s="11"/>
      <c r="FSN37" s="11"/>
      <c r="FSO37" s="11"/>
      <c r="FSP37" s="11"/>
      <c r="FSQ37" s="11"/>
      <c r="FSR37" s="11"/>
      <c r="FSS37" s="11"/>
      <c r="FST37" s="11"/>
      <c r="FSU37" s="11"/>
      <c r="FSV37" s="11"/>
      <c r="FSW37" s="11"/>
      <c r="FSX37" s="11"/>
      <c r="FSY37" s="11"/>
      <c r="FSZ37" s="11"/>
      <c r="FTA37" s="11"/>
      <c r="FTB37" s="11"/>
      <c r="FTC37" s="11"/>
      <c r="FTD37" s="11"/>
      <c r="FTE37" s="11"/>
      <c r="FTF37" s="11"/>
      <c r="FTG37" s="11"/>
      <c r="FTH37" s="11"/>
      <c r="FTI37" s="11"/>
      <c r="FTJ37" s="11"/>
      <c r="FTK37" s="11"/>
      <c r="FTL37" s="11"/>
      <c r="FTM37" s="11"/>
      <c r="FTN37" s="11"/>
      <c r="FTO37" s="11"/>
      <c r="FTP37" s="11"/>
      <c r="FTQ37" s="11"/>
      <c r="FTR37" s="11"/>
      <c r="FTS37" s="11"/>
      <c r="FTT37" s="11"/>
      <c r="FTU37" s="11"/>
      <c r="FTV37" s="11"/>
      <c r="FTW37" s="11"/>
      <c r="FTX37" s="11"/>
      <c r="FTY37" s="11"/>
      <c r="FTZ37" s="11"/>
      <c r="FUA37" s="11"/>
      <c r="FUB37" s="11"/>
      <c r="FUC37" s="11"/>
      <c r="FUD37" s="11"/>
      <c r="FUE37" s="11"/>
      <c r="FUF37" s="11"/>
      <c r="FUG37" s="11"/>
      <c r="FUH37" s="11"/>
      <c r="FUI37" s="11"/>
      <c r="FUJ37" s="11"/>
      <c r="FUK37" s="11"/>
      <c r="FUL37" s="11"/>
      <c r="FUM37" s="11"/>
      <c r="FUN37" s="11"/>
      <c r="FUO37" s="11"/>
      <c r="FUP37" s="11"/>
      <c r="FUQ37" s="11"/>
      <c r="FUR37" s="11"/>
      <c r="FUS37" s="11"/>
      <c r="FUT37" s="11"/>
      <c r="FUU37" s="11"/>
      <c r="FUV37" s="11"/>
      <c r="FUW37" s="11"/>
      <c r="FUX37" s="11"/>
      <c r="FUY37" s="11"/>
      <c r="FUZ37" s="11"/>
      <c r="FVA37" s="11"/>
      <c r="FVB37" s="11"/>
      <c r="FVC37" s="11"/>
      <c r="FVD37" s="11"/>
      <c r="FVE37" s="11"/>
      <c r="FVF37" s="11"/>
      <c r="FVG37" s="11"/>
      <c r="FVH37" s="11"/>
      <c r="FVI37" s="11"/>
      <c r="FVJ37" s="11"/>
      <c r="FVK37" s="11"/>
      <c r="FVL37" s="11"/>
      <c r="FVM37" s="11"/>
      <c r="FVN37" s="11"/>
      <c r="FVO37" s="11"/>
      <c r="FVP37" s="11"/>
      <c r="FVQ37" s="11"/>
      <c r="FVR37" s="11"/>
      <c r="FVS37" s="11"/>
      <c r="FVT37" s="11"/>
      <c r="FVU37" s="11"/>
      <c r="FVV37" s="11"/>
      <c r="FVW37" s="11"/>
      <c r="FVX37" s="11"/>
      <c r="FVY37" s="11"/>
      <c r="FVZ37" s="11"/>
      <c r="FWA37" s="11"/>
      <c r="FWB37" s="11"/>
      <c r="FWC37" s="11"/>
      <c r="FWD37" s="11"/>
      <c r="FWE37" s="11"/>
      <c r="FWF37" s="11"/>
      <c r="FWG37" s="11"/>
      <c r="FWH37" s="11"/>
      <c r="FWI37" s="11"/>
      <c r="FWJ37" s="11"/>
      <c r="FWK37" s="11"/>
      <c r="FWL37" s="11"/>
      <c r="FWM37" s="11"/>
      <c r="FWN37" s="11"/>
      <c r="FWO37" s="11"/>
      <c r="FWP37" s="11"/>
      <c r="FWQ37" s="11"/>
      <c r="FWR37" s="11"/>
      <c r="FWS37" s="11"/>
      <c r="FWT37" s="11"/>
      <c r="FWU37" s="11"/>
      <c r="FWV37" s="11"/>
      <c r="FWW37" s="11"/>
      <c r="FWX37" s="11"/>
      <c r="FWY37" s="11"/>
      <c r="FWZ37" s="11"/>
      <c r="FXA37" s="11"/>
      <c r="FXB37" s="11"/>
      <c r="FXC37" s="11"/>
      <c r="FXD37" s="11"/>
      <c r="FXE37" s="11"/>
      <c r="FXF37" s="11"/>
      <c r="FXG37" s="11"/>
      <c r="FXH37" s="11"/>
      <c r="FXI37" s="11"/>
      <c r="FXJ37" s="11"/>
      <c r="FXK37" s="11"/>
      <c r="FXL37" s="11"/>
      <c r="FXM37" s="11"/>
      <c r="FXN37" s="11"/>
      <c r="FXO37" s="11"/>
      <c r="FXP37" s="11"/>
      <c r="FXQ37" s="11"/>
      <c r="FXR37" s="11"/>
      <c r="FXS37" s="11"/>
      <c r="FXT37" s="11"/>
      <c r="FXU37" s="11"/>
      <c r="FXV37" s="11"/>
      <c r="FXW37" s="11"/>
      <c r="FXX37" s="11"/>
      <c r="FXY37" s="11"/>
      <c r="FXZ37" s="11"/>
      <c r="FYA37" s="11"/>
      <c r="FYB37" s="11"/>
      <c r="FYC37" s="11"/>
      <c r="FYD37" s="11"/>
      <c r="FYE37" s="11"/>
      <c r="FYF37" s="11"/>
      <c r="FYG37" s="11"/>
      <c r="FYH37" s="11"/>
      <c r="FYI37" s="11"/>
      <c r="FYJ37" s="11"/>
      <c r="FYK37" s="11"/>
      <c r="FYL37" s="11"/>
      <c r="FYM37" s="11"/>
      <c r="FYN37" s="11"/>
      <c r="FYO37" s="11"/>
      <c r="FYP37" s="11"/>
      <c r="FYQ37" s="11"/>
      <c r="FYR37" s="11"/>
      <c r="FYS37" s="11"/>
      <c r="FYT37" s="11"/>
      <c r="FYU37" s="11"/>
      <c r="FYV37" s="11"/>
      <c r="FYW37" s="11"/>
      <c r="FYX37" s="11"/>
      <c r="FYY37" s="11"/>
      <c r="FYZ37" s="11"/>
      <c r="FZA37" s="11"/>
      <c r="FZB37" s="11"/>
      <c r="FZC37" s="11"/>
      <c r="FZD37" s="11"/>
      <c r="FZE37" s="11"/>
      <c r="FZF37" s="11"/>
      <c r="FZG37" s="11"/>
      <c r="FZH37" s="11"/>
      <c r="FZI37" s="11"/>
      <c r="FZJ37" s="11"/>
      <c r="FZK37" s="11"/>
      <c r="FZL37" s="11"/>
      <c r="FZM37" s="11"/>
      <c r="FZN37" s="11"/>
      <c r="FZO37" s="11"/>
      <c r="FZP37" s="11"/>
      <c r="FZQ37" s="11"/>
      <c r="FZR37" s="11"/>
      <c r="FZS37" s="11"/>
      <c r="FZT37" s="11"/>
      <c r="FZU37" s="11"/>
      <c r="FZV37" s="11"/>
      <c r="FZW37" s="11"/>
      <c r="FZX37" s="11"/>
      <c r="FZY37" s="11"/>
      <c r="FZZ37" s="11"/>
      <c r="GAA37" s="11"/>
      <c r="GAB37" s="11"/>
      <c r="GAC37" s="11"/>
      <c r="GAD37" s="11"/>
      <c r="GAE37" s="11"/>
      <c r="GAF37" s="11"/>
      <c r="GAG37" s="11"/>
      <c r="GAH37" s="11"/>
      <c r="GAI37" s="11"/>
      <c r="GAJ37" s="11"/>
      <c r="GAK37" s="11"/>
      <c r="GAL37" s="11"/>
      <c r="GAM37" s="11"/>
      <c r="GAN37" s="11"/>
      <c r="GAO37" s="11"/>
      <c r="GAP37" s="11"/>
      <c r="GAQ37" s="11"/>
      <c r="GAR37" s="11"/>
      <c r="GAS37" s="11"/>
      <c r="GAT37" s="11"/>
      <c r="GAU37" s="11"/>
      <c r="GAV37" s="11"/>
      <c r="GAW37" s="11"/>
      <c r="GAX37" s="11"/>
      <c r="GAY37" s="11"/>
      <c r="GAZ37" s="11"/>
      <c r="GBA37" s="11"/>
      <c r="GBB37" s="11"/>
      <c r="GBC37" s="11"/>
      <c r="GBD37" s="11"/>
      <c r="GBE37" s="11"/>
      <c r="GBF37" s="11"/>
      <c r="GBG37" s="11"/>
      <c r="GBH37" s="11"/>
      <c r="GBI37" s="11"/>
      <c r="GBJ37" s="11"/>
      <c r="GBK37" s="11"/>
      <c r="GBL37" s="11"/>
      <c r="GBM37" s="11"/>
      <c r="GBN37" s="11"/>
      <c r="GBO37" s="11"/>
      <c r="GBP37" s="11"/>
      <c r="GBQ37" s="11"/>
      <c r="GBR37" s="11"/>
      <c r="GBS37" s="11"/>
      <c r="GBT37" s="11"/>
      <c r="GBU37" s="11"/>
      <c r="GBV37" s="11"/>
      <c r="GBW37" s="11"/>
      <c r="GBX37" s="11"/>
      <c r="GBY37" s="11"/>
      <c r="GBZ37" s="11"/>
      <c r="GCA37" s="11"/>
      <c r="GCB37" s="11"/>
      <c r="GCC37" s="11"/>
      <c r="GCD37" s="11"/>
      <c r="GCE37" s="11"/>
      <c r="GCF37" s="11"/>
      <c r="GCG37" s="11"/>
      <c r="GCH37" s="11"/>
      <c r="GCI37" s="11"/>
      <c r="GCJ37" s="11"/>
      <c r="GCK37" s="11"/>
      <c r="GCL37" s="11"/>
      <c r="GCM37" s="11"/>
      <c r="GCN37" s="11"/>
      <c r="GCO37" s="11"/>
      <c r="GCP37" s="11"/>
      <c r="GCQ37" s="11"/>
      <c r="GCR37" s="11"/>
      <c r="GCS37" s="11"/>
      <c r="GCT37" s="11"/>
      <c r="GCU37" s="11"/>
      <c r="GCV37" s="11"/>
      <c r="GCW37" s="11"/>
      <c r="GCX37" s="11"/>
      <c r="GCY37" s="11"/>
      <c r="GCZ37" s="11"/>
      <c r="GDA37" s="11"/>
      <c r="GDB37" s="11"/>
      <c r="GDC37" s="11"/>
      <c r="GDD37" s="11"/>
      <c r="GDE37" s="11"/>
      <c r="GDF37" s="11"/>
      <c r="GDG37" s="11"/>
      <c r="GDH37" s="11"/>
      <c r="GDI37" s="11"/>
      <c r="GDJ37" s="11"/>
      <c r="GDK37" s="11"/>
      <c r="GDL37" s="11"/>
      <c r="GDM37" s="11"/>
      <c r="GDN37" s="11"/>
      <c r="GDO37" s="11"/>
      <c r="GDP37" s="11"/>
      <c r="GDQ37" s="11"/>
      <c r="GDR37" s="11"/>
      <c r="GDS37" s="11"/>
      <c r="GDT37" s="11"/>
      <c r="GDU37" s="11"/>
      <c r="GDV37" s="11"/>
      <c r="GDW37" s="11"/>
      <c r="GDX37" s="11"/>
      <c r="GDY37" s="11"/>
      <c r="GDZ37" s="11"/>
      <c r="GEA37" s="11"/>
      <c r="GEB37" s="11"/>
      <c r="GEC37" s="11"/>
      <c r="GED37" s="11"/>
      <c r="GEE37" s="11"/>
      <c r="GEF37" s="11"/>
      <c r="GEG37" s="11"/>
      <c r="GEH37" s="11"/>
      <c r="GEI37" s="11"/>
      <c r="GEJ37" s="11"/>
      <c r="GEK37" s="11"/>
      <c r="GEL37" s="11"/>
      <c r="GEM37" s="11"/>
      <c r="GEN37" s="11"/>
      <c r="GEO37" s="11"/>
      <c r="GEP37" s="11"/>
      <c r="GEQ37" s="11"/>
      <c r="GER37" s="11"/>
      <c r="GES37" s="11"/>
      <c r="GET37" s="11"/>
      <c r="GEU37" s="11"/>
      <c r="GEV37" s="11"/>
      <c r="GEW37" s="11"/>
      <c r="GEX37" s="11"/>
      <c r="GEY37" s="11"/>
      <c r="GEZ37" s="11"/>
      <c r="GFA37" s="11"/>
      <c r="GFB37" s="11"/>
      <c r="GFC37" s="11"/>
      <c r="GFD37" s="11"/>
      <c r="GFE37" s="11"/>
      <c r="GFF37" s="11"/>
      <c r="GFG37" s="11"/>
      <c r="GFH37" s="11"/>
      <c r="GFI37" s="11"/>
      <c r="GFJ37" s="11"/>
      <c r="GFK37" s="11"/>
      <c r="GFL37" s="11"/>
      <c r="GFM37" s="11"/>
      <c r="GFN37" s="11"/>
      <c r="GFO37" s="11"/>
      <c r="GFP37" s="11"/>
      <c r="GFQ37" s="11"/>
      <c r="GFR37" s="11"/>
      <c r="GFS37" s="11"/>
      <c r="GFT37" s="11"/>
      <c r="GFU37" s="11"/>
      <c r="GFV37" s="11"/>
      <c r="GFW37" s="11"/>
      <c r="GFX37" s="11"/>
      <c r="GFY37" s="11"/>
      <c r="GFZ37" s="11"/>
      <c r="GGA37" s="11"/>
      <c r="GGB37" s="11"/>
      <c r="GGC37" s="11"/>
      <c r="GGD37" s="11"/>
      <c r="GGE37" s="11"/>
      <c r="GGF37" s="11"/>
      <c r="GGG37" s="11"/>
      <c r="GGH37" s="11"/>
      <c r="GGI37" s="11"/>
      <c r="GGJ37" s="11"/>
      <c r="GGK37" s="11"/>
      <c r="GGL37" s="11"/>
      <c r="GGM37" s="11"/>
      <c r="GGN37" s="11"/>
      <c r="GGO37" s="11"/>
      <c r="GGP37" s="11"/>
      <c r="GGQ37" s="11"/>
      <c r="GGR37" s="11"/>
      <c r="GGS37" s="11"/>
      <c r="GGT37" s="11"/>
      <c r="GGU37" s="11"/>
      <c r="GGV37" s="11"/>
      <c r="GGW37" s="11"/>
      <c r="GGX37" s="11"/>
      <c r="GGY37" s="11"/>
      <c r="GGZ37" s="11"/>
      <c r="GHA37" s="11"/>
      <c r="GHB37" s="11"/>
      <c r="GHC37" s="11"/>
      <c r="GHD37" s="11"/>
      <c r="GHE37" s="11"/>
      <c r="GHF37" s="11"/>
      <c r="GHG37" s="11"/>
      <c r="GHH37" s="11"/>
      <c r="GHI37" s="11"/>
      <c r="GHJ37" s="11"/>
      <c r="GHK37" s="11"/>
      <c r="GHL37" s="11"/>
      <c r="GHM37" s="11"/>
      <c r="GHN37" s="11"/>
      <c r="GHO37" s="11"/>
      <c r="GHP37" s="11"/>
      <c r="GHQ37" s="11"/>
      <c r="GHR37" s="11"/>
      <c r="GHS37" s="11"/>
      <c r="GHT37" s="11"/>
      <c r="GHU37" s="11"/>
      <c r="GHV37" s="11"/>
      <c r="GHW37" s="11"/>
      <c r="GHX37" s="11"/>
      <c r="GHY37" s="11"/>
      <c r="GHZ37" s="11"/>
      <c r="GIA37" s="11"/>
      <c r="GIB37" s="11"/>
      <c r="GIC37" s="11"/>
      <c r="GID37" s="11"/>
      <c r="GIE37" s="11"/>
      <c r="GIF37" s="11"/>
      <c r="GIG37" s="11"/>
      <c r="GIH37" s="11"/>
      <c r="GII37" s="11"/>
      <c r="GIJ37" s="11"/>
      <c r="GIK37" s="11"/>
      <c r="GIL37" s="11"/>
      <c r="GIM37" s="11"/>
      <c r="GIN37" s="11"/>
      <c r="GIO37" s="11"/>
      <c r="GIP37" s="11"/>
      <c r="GIQ37" s="11"/>
      <c r="GIR37" s="11"/>
      <c r="GIS37" s="11"/>
      <c r="GIT37" s="11"/>
      <c r="GIU37" s="11"/>
      <c r="GIV37" s="11"/>
      <c r="GIW37" s="11"/>
      <c r="GIX37" s="11"/>
      <c r="GIY37" s="11"/>
      <c r="GIZ37" s="11"/>
      <c r="GJA37" s="11"/>
      <c r="GJB37" s="11"/>
      <c r="GJC37" s="11"/>
      <c r="GJD37" s="11"/>
      <c r="GJE37" s="11"/>
      <c r="GJF37" s="11"/>
      <c r="GJG37" s="11"/>
      <c r="GJH37" s="11"/>
      <c r="GJI37" s="11"/>
      <c r="GJJ37" s="11"/>
      <c r="GJK37" s="11"/>
      <c r="GJL37" s="11"/>
      <c r="GJM37" s="11"/>
      <c r="GJN37" s="11"/>
      <c r="GJO37" s="11"/>
      <c r="GJP37" s="11"/>
      <c r="GJQ37" s="11"/>
      <c r="GJR37" s="11"/>
      <c r="GJS37" s="11"/>
      <c r="GJT37" s="11"/>
      <c r="GJU37" s="11"/>
      <c r="GJV37" s="11"/>
      <c r="GJW37" s="11"/>
      <c r="GJX37" s="11"/>
      <c r="GJY37" s="11"/>
      <c r="GJZ37" s="11"/>
      <c r="GKA37" s="11"/>
      <c r="GKB37" s="11"/>
      <c r="GKC37" s="11"/>
      <c r="GKD37" s="11"/>
      <c r="GKE37" s="11"/>
      <c r="GKF37" s="11"/>
      <c r="GKG37" s="11"/>
      <c r="GKH37" s="11"/>
      <c r="GKI37" s="11"/>
      <c r="GKJ37" s="11"/>
      <c r="GKK37" s="11"/>
      <c r="GKL37" s="11"/>
      <c r="GKM37" s="11"/>
      <c r="GKN37" s="11"/>
      <c r="GKO37" s="11"/>
      <c r="GKP37" s="11"/>
      <c r="GKQ37" s="11"/>
      <c r="GKR37" s="11"/>
      <c r="GKS37" s="11"/>
      <c r="GKT37" s="11"/>
      <c r="GKU37" s="11"/>
      <c r="GKV37" s="11"/>
      <c r="GKW37" s="11"/>
      <c r="GKX37" s="11"/>
      <c r="GKY37" s="11"/>
      <c r="GKZ37" s="11"/>
      <c r="GLA37" s="11"/>
      <c r="GLB37" s="11"/>
      <c r="GLC37" s="11"/>
      <c r="GLD37" s="11"/>
      <c r="GLE37" s="11"/>
      <c r="GLF37" s="11"/>
      <c r="GLG37" s="11"/>
      <c r="GLH37" s="11"/>
      <c r="GLI37" s="11"/>
      <c r="GLJ37" s="11"/>
      <c r="GLK37" s="11"/>
      <c r="GLL37" s="11"/>
      <c r="GLM37" s="11"/>
      <c r="GLN37" s="11"/>
      <c r="GLO37" s="11"/>
      <c r="GLP37" s="11"/>
      <c r="GLQ37" s="11"/>
      <c r="GLR37" s="11"/>
      <c r="GLS37" s="11"/>
      <c r="GLT37" s="11"/>
      <c r="GLU37" s="11"/>
      <c r="GLV37" s="11"/>
      <c r="GLW37" s="11"/>
      <c r="GLX37" s="11"/>
      <c r="GLY37" s="11"/>
      <c r="GLZ37" s="11"/>
      <c r="GMA37" s="11"/>
      <c r="GMB37" s="11"/>
      <c r="GMC37" s="11"/>
      <c r="GMD37" s="11"/>
      <c r="GME37" s="11"/>
      <c r="GMF37" s="11"/>
      <c r="GMG37" s="11"/>
      <c r="GMH37" s="11"/>
      <c r="GMI37" s="11"/>
      <c r="GMJ37" s="11"/>
      <c r="GMK37" s="11"/>
      <c r="GML37" s="11"/>
      <c r="GMM37" s="11"/>
      <c r="GMN37" s="11"/>
      <c r="GMO37" s="11"/>
      <c r="GMP37" s="11"/>
      <c r="GMQ37" s="11"/>
      <c r="GMR37" s="11"/>
      <c r="GMS37" s="11"/>
      <c r="GMT37" s="11"/>
      <c r="GMU37" s="11"/>
      <c r="GMV37" s="11"/>
      <c r="GMW37" s="11"/>
      <c r="GMX37" s="11"/>
      <c r="GMY37" s="11"/>
      <c r="GMZ37" s="11"/>
      <c r="GNA37" s="11"/>
      <c r="GNB37" s="11"/>
      <c r="GNC37" s="11"/>
      <c r="GND37" s="11"/>
      <c r="GNE37" s="11"/>
      <c r="GNF37" s="11"/>
      <c r="GNG37" s="11"/>
      <c r="GNH37" s="11"/>
      <c r="GNI37" s="11"/>
      <c r="GNJ37" s="11"/>
      <c r="GNK37" s="11"/>
      <c r="GNL37" s="11"/>
      <c r="GNM37" s="11"/>
      <c r="GNN37" s="11"/>
      <c r="GNO37" s="11"/>
      <c r="GNP37" s="11"/>
      <c r="GNQ37" s="11"/>
      <c r="GNR37" s="11"/>
      <c r="GNS37" s="11"/>
      <c r="GNT37" s="11"/>
      <c r="GNU37" s="11"/>
      <c r="GNV37" s="11"/>
      <c r="GNW37" s="11"/>
      <c r="GNX37" s="11"/>
      <c r="GNY37" s="11"/>
      <c r="GNZ37" s="11"/>
      <c r="GOA37" s="11"/>
      <c r="GOB37" s="11"/>
      <c r="GOC37" s="11"/>
      <c r="GOD37" s="11"/>
      <c r="GOE37" s="11"/>
      <c r="GOF37" s="11"/>
      <c r="GOG37" s="11"/>
      <c r="GOH37" s="11"/>
      <c r="GOI37" s="11"/>
      <c r="GOJ37" s="11"/>
      <c r="GOK37" s="11"/>
      <c r="GOL37" s="11"/>
      <c r="GOM37" s="11"/>
      <c r="GON37" s="11"/>
      <c r="GOO37" s="11"/>
      <c r="GOP37" s="11"/>
      <c r="GOQ37" s="11"/>
      <c r="GOR37" s="11"/>
      <c r="GOS37" s="11"/>
      <c r="GOT37" s="11"/>
      <c r="GOU37" s="11"/>
      <c r="GOV37" s="11"/>
      <c r="GOW37" s="11"/>
      <c r="GOX37" s="11"/>
      <c r="GOY37" s="11"/>
      <c r="GOZ37" s="11"/>
      <c r="GPA37" s="11"/>
      <c r="GPB37" s="11"/>
      <c r="GPC37" s="11"/>
      <c r="GPD37" s="11"/>
      <c r="GPE37" s="11"/>
      <c r="GPF37" s="11"/>
      <c r="GPG37" s="11"/>
      <c r="GPH37" s="11"/>
      <c r="GPI37" s="11"/>
      <c r="GPJ37" s="11"/>
      <c r="GPK37" s="11"/>
      <c r="GPL37" s="11"/>
      <c r="GPM37" s="11"/>
      <c r="GPN37" s="11"/>
      <c r="GPO37" s="11"/>
      <c r="GPP37" s="11"/>
      <c r="GPQ37" s="11"/>
      <c r="GPR37" s="11"/>
      <c r="GPS37" s="11"/>
      <c r="GPT37" s="11"/>
      <c r="GPU37" s="11"/>
      <c r="GPV37" s="11"/>
      <c r="GPW37" s="11"/>
      <c r="GPX37" s="11"/>
      <c r="GPY37" s="11"/>
      <c r="GPZ37" s="11"/>
      <c r="GQA37" s="11"/>
      <c r="GQB37" s="11"/>
      <c r="GQC37" s="11"/>
      <c r="GQD37" s="11"/>
      <c r="GQE37" s="11"/>
      <c r="GQF37" s="11"/>
      <c r="GQG37" s="11"/>
      <c r="GQH37" s="11"/>
      <c r="GQI37" s="11"/>
      <c r="GQJ37" s="11"/>
      <c r="GQK37" s="11"/>
      <c r="GQL37" s="11"/>
      <c r="GQM37" s="11"/>
      <c r="GQN37" s="11"/>
      <c r="GQO37" s="11"/>
      <c r="GQP37" s="11"/>
      <c r="GQQ37" s="11"/>
      <c r="GQR37" s="11"/>
      <c r="GQS37" s="11"/>
      <c r="GQT37" s="11"/>
      <c r="GQU37" s="11"/>
      <c r="GQV37" s="11"/>
      <c r="GQW37" s="11"/>
      <c r="GQX37" s="11"/>
      <c r="GQY37" s="11"/>
      <c r="GQZ37" s="11"/>
      <c r="GRA37" s="11"/>
      <c r="GRB37" s="11"/>
      <c r="GRC37" s="11"/>
      <c r="GRD37" s="11"/>
      <c r="GRE37" s="11"/>
      <c r="GRF37" s="11"/>
      <c r="GRG37" s="11"/>
      <c r="GRH37" s="11"/>
      <c r="GRI37" s="11"/>
      <c r="GRJ37" s="11"/>
      <c r="GRK37" s="11"/>
      <c r="GRL37" s="11"/>
      <c r="GRM37" s="11"/>
      <c r="GRN37" s="11"/>
      <c r="GRO37" s="11"/>
      <c r="GRP37" s="11"/>
      <c r="GRQ37" s="11"/>
      <c r="GRR37" s="11"/>
      <c r="GRS37" s="11"/>
      <c r="GRT37" s="11"/>
      <c r="GRU37" s="11"/>
      <c r="GRV37" s="11"/>
      <c r="GRW37" s="11"/>
      <c r="GRX37" s="11"/>
      <c r="GRY37" s="11"/>
      <c r="GRZ37" s="11"/>
      <c r="GSA37" s="11"/>
      <c r="GSB37" s="11"/>
      <c r="GSC37" s="11"/>
      <c r="GSD37" s="11"/>
      <c r="GSE37" s="11"/>
      <c r="GSF37" s="11"/>
      <c r="GSG37" s="11"/>
      <c r="GSH37" s="11"/>
      <c r="GSI37" s="11"/>
      <c r="GSJ37" s="11"/>
      <c r="GSK37" s="11"/>
      <c r="GSL37" s="11"/>
      <c r="GSM37" s="11"/>
      <c r="GSN37" s="11"/>
      <c r="GSO37" s="11"/>
      <c r="GSP37" s="11"/>
      <c r="GSQ37" s="11"/>
      <c r="GSR37" s="11"/>
      <c r="GSS37" s="11"/>
      <c r="GST37" s="11"/>
      <c r="GSU37" s="11"/>
      <c r="GSV37" s="11"/>
      <c r="GSW37" s="11"/>
      <c r="GSX37" s="11"/>
      <c r="GSY37" s="11"/>
      <c r="GSZ37" s="11"/>
      <c r="GTA37" s="11"/>
      <c r="GTB37" s="11"/>
      <c r="GTC37" s="11"/>
      <c r="GTD37" s="11"/>
      <c r="GTE37" s="11"/>
      <c r="GTF37" s="11"/>
      <c r="GTG37" s="11"/>
      <c r="GTH37" s="11"/>
      <c r="GTI37" s="11"/>
      <c r="GTJ37" s="11"/>
      <c r="GTK37" s="11"/>
      <c r="GTL37" s="11"/>
      <c r="GTM37" s="11"/>
      <c r="GTN37" s="11"/>
      <c r="GTO37" s="11"/>
      <c r="GTP37" s="11"/>
      <c r="GTQ37" s="11"/>
      <c r="GTR37" s="11"/>
      <c r="GTS37" s="11"/>
      <c r="GTT37" s="11"/>
      <c r="GTU37" s="11"/>
      <c r="GTV37" s="11"/>
      <c r="GTW37" s="11"/>
      <c r="GTX37" s="11"/>
      <c r="GTY37" s="11"/>
      <c r="GTZ37" s="11"/>
      <c r="GUA37" s="11"/>
      <c r="GUB37" s="11"/>
      <c r="GUC37" s="11"/>
      <c r="GUD37" s="11"/>
      <c r="GUE37" s="11"/>
      <c r="GUF37" s="11"/>
      <c r="GUG37" s="11"/>
      <c r="GUH37" s="11"/>
      <c r="GUI37" s="11"/>
      <c r="GUJ37" s="11"/>
      <c r="GUK37" s="11"/>
      <c r="GUL37" s="11"/>
      <c r="GUM37" s="11"/>
      <c r="GUN37" s="11"/>
      <c r="GUO37" s="11"/>
      <c r="GUP37" s="11"/>
      <c r="GUQ37" s="11"/>
      <c r="GUR37" s="11"/>
      <c r="GUS37" s="11"/>
      <c r="GUT37" s="11"/>
      <c r="GUU37" s="11"/>
      <c r="GUV37" s="11"/>
      <c r="GUW37" s="11"/>
      <c r="GUX37" s="11"/>
      <c r="GUY37" s="11"/>
      <c r="GUZ37" s="11"/>
      <c r="GVA37" s="11"/>
      <c r="GVB37" s="11"/>
      <c r="GVC37" s="11"/>
      <c r="GVD37" s="11"/>
      <c r="GVE37" s="11"/>
      <c r="GVF37" s="11"/>
      <c r="GVG37" s="11"/>
      <c r="GVH37" s="11"/>
      <c r="GVI37" s="11"/>
      <c r="GVJ37" s="11"/>
      <c r="GVK37" s="11"/>
      <c r="GVL37" s="11"/>
      <c r="GVM37" s="11"/>
      <c r="GVN37" s="11"/>
      <c r="GVO37" s="11"/>
      <c r="GVP37" s="11"/>
      <c r="GVQ37" s="11"/>
      <c r="GVR37" s="11"/>
      <c r="GVS37" s="11"/>
      <c r="GVT37" s="11"/>
      <c r="GVU37" s="11"/>
      <c r="GVV37" s="11"/>
      <c r="GVW37" s="11"/>
      <c r="GVX37" s="11"/>
      <c r="GVY37" s="11"/>
      <c r="GVZ37" s="11"/>
      <c r="GWA37" s="11"/>
      <c r="GWB37" s="11"/>
      <c r="GWC37" s="11"/>
      <c r="GWD37" s="11"/>
      <c r="GWE37" s="11"/>
      <c r="GWF37" s="11"/>
      <c r="GWG37" s="11"/>
      <c r="GWH37" s="11"/>
      <c r="GWI37" s="11"/>
      <c r="GWJ37" s="11"/>
      <c r="GWK37" s="11"/>
      <c r="GWL37" s="11"/>
      <c r="GWM37" s="11"/>
      <c r="GWN37" s="11"/>
      <c r="GWO37" s="11"/>
      <c r="GWP37" s="11"/>
      <c r="GWQ37" s="11"/>
      <c r="GWR37" s="11"/>
      <c r="GWS37" s="11"/>
      <c r="GWT37" s="11"/>
      <c r="GWU37" s="11"/>
      <c r="GWV37" s="11"/>
      <c r="GWW37" s="11"/>
      <c r="GWX37" s="11"/>
      <c r="GWY37" s="11"/>
      <c r="GWZ37" s="11"/>
      <c r="GXA37" s="11"/>
      <c r="GXB37" s="11"/>
      <c r="GXC37" s="11"/>
      <c r="GXD37" s="11"/>
      <c r="GXE37" s="11"/>
      <c r="GXF37" s="11"/>
      <c r="GXG37" s="11"/>
      <c r="GXH37" s="11"/>
      <c r="GXI37" s="11"/>
      <c r="GXJ37" s="11"/>
      <c r="GXK37" s="11"/>
      <c r="GXL37" s="11"/>
      <c r="GXM37" s="11"/>
      <c r="GXN37" s="11"/>
      <c r="GXO37" s="11"/>
      <c r="GXP37" s="11"/>
      <c r="GXQ37" s="11"/>
      <c r="GXR37" s="11"/>
      <c r="GXS37" s="11"/>
      <c r="GXT37" s="11"/>
      <c r="GXU37" s="11"/>
      <c r="GXV37" s="11"/>
      <c r="GXW37" s="11"/>
      <c r="GXX37" s="11"/>
      <c r="GXY37" s="11"/>
      <c r="GXZ37" s="11"/>
      <c r="GYA37" s="11"/>
      <c r="GYB37" s="11"/>
      <c r="GYC37" s="11"/>
      <c r="GYD37" s="11"/>
      <c r="GYE37" s="11"/>
      <c r="GYF37" s="11"/>
      <c r="GYG37" s="11"/>
      <c r="GYH37" s="11"/>
      <c r="GYI37" s="11"/>
      <c r="GYJ37" s="11"/>
      <c r="GYK37" s="11"/>
      <c r="GYL37" s="11"/>
      <c r="GYM37" s="11"/>
      <c r="GYN37" s="11"/>
      <c r="GYO37" s="11"/>
      <c r="GYP37" s="11"/>
      <c r="GYQ37" s="11"/>
      <c r="GYR37" s="11"/>
      <c r="GYS37" s="11"/>
      <c r="GYT37" s="11"/>
      <c r="GYU37" s="11"/>
      <c r="GYV37" s="11"/>
      <c r="GYW37" s="11"/>
      <c r="GYX37" s="11"/>
      <c r="GYY37" s="11"/>
      <c r="GYZ37" s="11"/>
      <c r="GZA37" s="11"/>
      <c r="GZB37" s="11"/>
      <c r="GZC37" s="11"/>
      <c r="GZD37" s="11"/>
      <c r="GZE37" s="11"/>
      <c r="GZF37" s="11"/>
      <c r="GZG37" s="11"/>
      <c r="GZH37" s="11"/>
      <c r="GZI37" s="11"/>
      <c r="GZJ37" s="11"/>
      <c r="GZK37" s="11"/>
      <c r="GZL37" s="11"/>
      <c r="GZM37" s="11"/>
      <c r="GZN37" s="11"/>
      <c r="GZO37" s="11"/>
      <c r="GZP37" s="11"/>
      <c r="GZQ37" s="11"/>
      <c r="GZR37" s="11"/>
      <c r="GZS37" s="11"/>
      <c r="GZT37" s="11"/>
      <c r="GZU37" s="11"/>
      <c r="GZV37" s="11"/>
      <c r="GZW37" s="11"/>
      <c r="GZX37" s="11"/>
      <c r="GZY37" s="11"/>
      <c r="GZZ37" s="11"/>
      <c r="HAA37" s="11"/>
      <c r="HAB37" s="11"/>
      <c r="HAC37" s="11"/>
      <c r="HAD37" s="11"/>
      <c r="HAE37" s="11"/>
      <c r="HAF37" s="11"/>
      <c r="HAG37" s="11"/>
      <c r="HAH37" s="11"/>
      <c r="HAI37" s="11"/>
      <c r="HAJ37" s="11"/>
      <c r="HAK37" s="11"/>
      <c r="HAL37" s="11"/>
      <c r="HAM37" s="11"/>
      <c r="HAN37" s="11"/>
      <c r="HAO37" s="11"/>
      <c r="HAP37" s="11"/>
      <c r="HAQ37" s="11"/>
      <c r="HAR37" s="11"/>
      <c r="HAS37" s="11"/>
      <c r="HAT37" s="11"/>
      <c r="HAU37" s="11"/>
      <c r="HAV37" s="11"/>
      <c r="HAW37" s="11"/>
      <c r="HAX37" s="11"/>
      <c r="HAY37" s="11"/>
      <c r="HAZ37" s="11"/>
      <c r="HBA37" s="11"/>
      <c r="HBB37" s="11"/>
      <c r="HBC37" s="11"/>
      <c r="HBD37" s="11"/>
      <c r="HBE37" s="11"/>
      <c r="HBF37" s="11"/>
      <c r="HBG37" s="11"/>
      <c r="HBH37" s="11"/>
      <c r="HBI37" s="11"/>
      <c r="HBJ37" s="11"/>
      <c r="HBK37" s="11"/>
      <c r="HBL37" s="11"/>
      <c r="HBM37" s="11"/>
      <c r="HBN37" s="11"/>
      <c r="HBO37" s="11"/>
      <c r="HBP37" s="11"/>
      <c r="HBQ37" s="11"/>
      <c r="HBR37" s="11"/>
      <c r="HBS37" s="11"/>
      <c r="HBT37" s="11"/>
      <c r="HBU37" s="11"/>
      <c r="HBV37" s="11"/>
      <c r="HBW37" s="11"/>
      <c r="HBX37" s="11"/>
      <c r="HBY37" s="11"/>
      <c r="HBZ37" s="11"/>
      <c r="HCA37" s="11"/>
      <c r="HCB37" s="11"/>
      <c r="HCC37" s="11"/>
      <c r="HCD37" s="11"/>
      <c r="HCE37" s="11"/>
      <c r="HCF37" s="11"/>
      <c r="HCG37" s="11"/>
      <c r="HCH37" s="11"/>
      <c r="HCI37" s="11"/>
      <c r="HCJ37" s="11"/>
      <c r="HCK37" s="11"/>
      <c r="HCL37" s="11"/>
      <c r="HCM37" s="11"/>
      <c r="HCN37" s="11"/>
      <c r="HCO37" s="11"/>
      <c r="HCP37" s="11"/>
      <c r="HCQ37" s="11"/>
      <c r="HCR37" s="11"/>
      <c r="HCS37" s="11"/>
      <c r="HCT37" s="11"/>
      <c r="HCU37" s="11"/>
      <c r="HCV37" s="11"/>
      <c r="HCW37" s="11"/>
      <c r="HCX37" s="11"/>
      <c r="HCY37" s="11"/>
      <c r="HCZ37" s="11"/>
      <c r="HDA37" s="11"/>
      <c r="HDB37" s="11"/>
      <c r="HDC37" s="11"/>
      <c r="HDD37" s="11"/>
      <c r="HDE37" s="11"/>
      <c r="HDF37" s="11"/>
      <c r="HDG37" s="11"/>
      <c r="HDH37" s="11"/>
      <c r="HDI37" s="11"/>
      <c r="HDJ37" s="11"/>
      <c r="HDK37" s="11"/>
      <c r="HDL37" s="11"/>
      <c r="HDM37" s="11"/>
      <c r="HDN37" s="11"/>
      <c r="HDO37" s="11"/>
      <c r="HDP37" s="11"/>
      <c r="HDQ37" s="11"/>
      <c r="HDR37" s="11"/>
      <c r="HDS37" s="11"/>
      <c r="HDT37" s="11"/>
      <c r="HDU37" s="11"/>
      <c r="HDV37" s="11"/>
      <c r="HDW37" s="11"/>
      <c r="HDX37" s="11"/>
      <c r="HDY37" s="11"/>
      <c r="HDZ37" s="11"/>
      <c r="HEA37" s="11"/>
      <c r="HEB37" s="11"/>
      <c r="HEC37" s="11"/>
      <c r="HED37" s="11"/>
      <c r="HEE37" s="11"/>
      <c r="HEF37" s="11"/>
      <c r="HEG37" s="11"/>
      <c r="HEH37" s="11"/>
      <c r="HEI37" s="11"/>
      <c r="HEJ37" s="11"/>
      <c r="HEK37" s="11"/>
      <c r="HEL37" s="11"/>
      <c r="HEM37" s="11"/>
      <c r="HEN37" s="11"/>
      <c r="HEO37" s="11"/>
      <c r="HEP37" s="11"/>
      <c r="HEQ37" s="11"/>
      <c r="HER37" s="11"/>
      <c r="HES37" s="11"/>
      <c r="HET37" s="11"/>
      <c r="HEU37" s="11"/>
      <c r="HEV37" s="11"/>
      <c r="HEW37" s="11"/>
      <c r="HEX37" s="11"/>
      <c r="HEY37" s="11"/>
      <c r="HEZ37" s="11"/>
      <c r="HFA37" s="11"/>
      <c r="HFB37" s="11"/>
      <c r="HFC37" s="11"/>
      <c r="HFD37" s="11"/>
      <c r="HFE37" s="11"/>
      <c r="HFF37" s="11"/>
      <c r="HFG37" s="11"/>
      <c r="HFH37" s="11"/>
      <c r="HFI37" s="11"/>
      <c r="HFJ37" s="11"/>
      <c r="HFK37" s="11"/>
      <c r="HFL37" s="11"/>
      <c r="HFM37" s="11"/>
      <c r="HFN37" s="11"/>
      <c r="HFO37" s="11"/>
      <c r="HFP37" s="11"/>
      <c r="HFQ37" s="11"/>
      <c r="HFR37" s="11"/>
      <c r="HFS37" s="11"/>
      <c r="HFT37" s="11"/>
      <c r="HFU37" s="11"/>
      <c r="HFV37" s="11"/>
      <c r="HFW37" s="11"/>
      <c r="HFX37" s="11"/>
      <c r="HFY37" s="11"/>
      <c r="HFZ37" s="11"/>
      <c r="HGA37" s="11"/>
      <c r="HGB37" s="11"/>
      <c r="HGC37" s="11"/>
      <c r="HGD37" s="11"/>
      <c r="HGE37" s="11"/>
      <c r="HGF37" s="11"/>
      <c r="HGG37" s="11"/>
      <c r="HGH37" s="11"/>
      <c r="HGI37" s="11"/>
      <c r="HGJ37" s="11"/>
      <c r="HGK37" s="11"/>
      <c r="HGL37" s="11"/>
      <c r="HGM37" s="11"/>
      <c r="HGN37" s="11"/>
      <c r="HGO37" s="11"/>
      <c r="HGP37" s="11"/>
      <c r="HGQ37" s="11"/>
      <c r="HGR37" s="11"/>
      <c r="HGS37" s="11"/>
      <c r="HGT37" s="11"/>
      <c r="HGU37" s="11"/>
      <c r="HGV37" s="11"/>
      <c r="HGW37" s="11"/>
      <c r="HGX37" s="11"/>
      <c r="HGY37" s="11"/>
      <c r="HGZ37" s="11"/>
      <c r="HHA37" s="11"/>
      <c r="HHB37" s="11"/>
      <c r="HHC37" s="11"/>
      <c r="HHD37" s="11"/>
      <c r="HHE37" s="11"/>
      <c r="HHF37" s="11"/>
      <c r="HHG37" s="11"/>
      <c r="HHH37" s="11"/>
      <c r="HHI37" s="11"/>
      <c r="HHJ37" s="11"/>
      <c r="HHK37" s="11"/>
      <c r="HHL37" s="11"/>
      <c r="HHM37" s="11"/>
      <c r="HHN37" s="11"/>
      <c r="HHO37" s="11"/>
      <c r="HHP37" s="11"/>
      <c r="HHQ37" s="11"/>
      <c r="HHR37" s="11"/>
      <c r="HHS37" s="11"/>
      <c r="HHT37" s="11"/>
      <c r="HHU37" s="11"/>
      <c r="HHV37" s="11"/>
      <c r="HHW37" s="11"/>
      <c r="HHX37" s="11"/>
      <c r="HHY37" s="11"/>
      <c r="HHZ37" s="11"/>
      <c r="HIA37" s="11"/>
      <c r="HIB37" s="11"/>
      <c r="HIC37" s="11"/>
      <c r="HID37" s="11"/>
      <c r="HIE37" s="11"/>
      <c r="HIF37" s="11"/>
      <c r="HIG37" s="11"/>
      <c r="HIH37" s="11"/>
      <c r="HII37" s="11"/>
      <c r="HIJ37" s="11"/>
      <c r="HIK37" s="11"/>
      <c r="HIL37" s="11"/>
      <c r="HIM37" s="11"/>
      <c r="HIN37" s="11"/>
      <c r="HIO37" s="11"/>
      <c r="HIP37" s="11"/>
      <c r="HIQ37" s="11"/>
      <c r="HIR37" s="11"/>
      <c r="HIS37" s="11"/>
      <c r="HIT37" s="11"/>
      <c r="HIU37" s="11"/>
      <c r="HIV37" s="11"/>
      <c r="HIW37" s="11"/>
      <c r="HIX37" s="11"/>
      <c r="HIY37" s="11"/>
      <c r="HIZ37" s="11"/>
      <c r="HJA37" s="11"/>
      <c r="HJB37" s="11"/>
      <c r="HJC37" s="11"/>
      <c r="HJD37" s="11"/>
      <c r="HJE37" s="11"/>
      <c r="HJF37" s="11"/>
      <c r="HJG37" s="11"/>
      <c r="HJH37" s="11"/>
      <c r="HJI37" s="11"/>
      <c r="HJJ37" s="11"/>
      <c r="HJK37" s="11"/>
      <c r="HJL37" s="11"/>
      <c r="HJM37" s="11"/>
      <c r="HJN37" s="11"/>
      <c r="HJO37" s="11"/>
      <c r="HJP37" s="11"/>
      <c r="HJQ37" s="11"/>
      <c r="HJR37" s="11"/>
      <c r="HJS37" s="11"/>
      <c r="HJT37" s="11"/>
      <c r="HJU37" s="11"/>
      <c r="HJV37" s="11"/>
      <c r="HJW37" s="11"/>
      <c r="HJX37" s="11"/>
      <c r="HJY37" s="11"/>
      <c r="HJZ37" s="11"/>
      <c r="HKA37" s="11"/>
      <c r="HKB37" s="11"/>
      <c r="HKC37" s="11"/>
      <c r="HKD37" s="11"/>
      <c r="HKE37" s="11"/>
      <c r="HKF37" s="11"/>
      <c r="HKG37" s="11"/>
      <c r="HKH37" s="11"/>
      <c r="HKI37" s="11"/>
      <c r="HKJ37" s="11"/>
      <c r="HKK37" s="11"/>
      <c r="HKL37" s="11"/>
      <c r="HKM37" s="11"/>
      <c r="HKN37" s="11"/>
      <c r="HKO37" s="11"/>
      <c r="HKP37" s="11"/>
      <c r="HKQ37" s="11"/>
      <c r="HKR37" s="11"/>
      <c r="HKS37" s="11"/>
      <c r="HKT37" s="11"/>
      <c r="HKU37" s="11"/>
      <c r="HKV37" s="11"/>
      <c r="HKW37" s="11"/>
      <c r="HKX37" s="11"/>
      <c r="HKY37" s="11"/>
      <c r="HKZ37" s="11"/>
      <c r="HLA37" s="11"/>
      <c r="HLB37" s="11"/>
      <c r="HLC37" s="11"/>
      <c r="HLD37" s="11"/>
      <c r="HLE37" s="11"/>
      <c r="HLF37" s="11"/>
      <c r="HLG37" s="11"/>
      <c r="HLH37" s="11"/>
      <c r="HLI37" s="11"/>
      <c r="HLJ37" s="11"/>
      <c r="HLK37" s="11"/>
      <c r="HLL37" s="11"/>
      <c r="HLM37" s="11"/>
      <c r="HLN37" s="11"/>
      <c r="HLO37" s="11"/>
      <c r="HLP37" s="11"/>
      <c r="HLQ37" s="11"/>
      <c r="HLR37" s="11"/>
      <c r="HLS37" s="11"/>
      <c r="HLT37" s="11"/>
      <c r="HLU37" s="11"/>
      <c r="HLV37" s="11"/>
      <c r="HLW37" s="11"/>
      <c r="HLX37" s="11"/>
      <c r="HLY37" s="11"/>
      <c r="HLZ37" s="11"/>
      <c r="HMA37" s="11"/>
      <c r="HMB37" s="11"/>
      <c r="HMC37" s="11"/>
      <c r="HMD37" s="11"/>
      <c r="HME37" s="11"/>
      <c r="HMF37" s="11"/>
      <c r="HMG37" s="11"/>
      <c r="HMH37" s="11"/>
      <c r="HMI37" s="11"/>
      <c r="HMJ37" s="11"/>
      <c r="HMK37" s="11"/>
      <c r="HML37" s="11"/>
      <c r="HMM37" s="11"/>
      <c r="HMN37" s="11"/>
      <c r="HMO37" s="11"/>
      <c r="HMP37" s="11"/>
      <c r="HMQ37" s="11"/>
      <c r="HMR37" s="11"/>
      <c r="HMS37" s="11"/>
      <c r="HMT37" s="11"/>
      <c r="HMU37" s="11"/>
      <c r="HMV37" s="11"/>
      <c r="HMW37" s="11"/>
      <c r="HMX37" s="11"/>
      <c r="HMY37" s="11"/>
      <c r="HMZ37" s="11"/>
      <c r="HNA37" s="11"/>
      <c r="HNB37" s="11"/>
      <c r="HNC37" s="11"/>
      <c r="HND37" s="11"/>
      <c r="HNE37" s="11"/>
      <c r="HNF37" s="11"/>
      <c r="HNG37" s="11"/>
      <c r="HNH37" s="11"/>
      <c r="HNI37" s="11"/>
      <c r="HNJ37" s="11"/>
      <c r="HNK37" s="11"/>
      <c r="HNL37" s="11"/>
      <c r="HNM37" s="11"/>
      <c r="HNN37" s="11"/>
      <c r="HNO37" s="11"/>
      <c r="HNP37" s="11"/>
      <c r="HNQ37" s="11"/>
      <c r="HNR37" s="11"/>
      <c r="HNS37" s="11"/>
      <c r="HNT37" s="11"/>
      <c r="HNU37" s="11"/>
      <c r="HNV37" s="11"/>
      <c r="HNW37" s="11"/>
      <c r="HNX37" s="11"/>
      <c r="HNY37" s="11"/>
      <c r="HNZ37" s="11"/>
      <c r="HOA37" s="11"/>
      <c r="HOB37" s="11"/>
      <c r="HOC37" s="11"/>
      <c r="HOD37" s="11"/>
      <c r="HOE37" s="11"/>
      <c r="HOF37" s="11"/>
      <c r="HOG37" s="11"/>
      <c r="HOH37" s="11"/>
      <c r="HOI37" s="11"/>
      <c r="HOJ37" s="11"/>
      <c r="HOK37" s="11"/>
      <c r="HOL37" s="11"/>
      <c r="HOM37" s="11"/>
      <c r="HON37" s="11"/>
      <c r="HOO37" s="11"/>
      <c r="HOP37" s="11"/>
      <c r="HOQ37" s="11"/>
      <c r="HOR37" s="11"/>
      <c r="HOS37" s="11"/>
      <c r="HOT37" s="11"/>
      <c r="HOU37" s="11"/>
      <c r="HOV37" s="11"/>
      <c r="HOW37" s="11"/>
      <c r="HOX37" s="11"/>
      <c r="HOY37" s="11"/>
      <c r="HOZ37" s="11"/>
      <c r="HPA37" s="11"/>
      <c r="HPB37" s="11"/>
      <c r="HPC37" s="11"/>
      <c r="HPD37" s="11"/>
      <c r="HPE37" s="11"/>
      <c r="HPF37" s="11"/>
      <c r="HPG37" s="11"/>
      <c r="HPH37" s="11"/>
      <c r="HPI37" s="11"/>
      <c r="HPJ37" s="11"/>
      <c r="HPK37" s="11"/>
      <c r="HPL37" s="11"/>
      <c r="HPM37" s="11"/>
      <c r="HPN37" s="11"/>
      <c r="HPO37" s="11"/>
      <c r="HPP37" s="11"/>
      <c r="HPQ37" s="11"/>
      <c r="HPR37" s="11"/>
      <c r="HPS37" s="11"/>
      <c r="HPT37" s="11"/>
      <c r="HPU37" s="11"/>
      <c r="HPV37" s="11"/>
      <c r="HPW37" s="11"/>
      <c r="HPX37" s="11"/>
      <c r="HPY37" s="11"/>
      <c r="HPZ37" s="11"/>
      <c r="HQA37" s="11"/>
      <c r="HQB37" s="11"/>
      <c r="HQC37" s="11"/>
      <c r="HQD37" s="11"/>
      <c r="HQE37" s="11"/>
      <c r="HQF37" s="11"/>
      <c r="HQG37" s="11"/>
      <c r="HQH37" s="11"/>
      <c r="HQI37" s="11"/>
      <c r="HQJ37" s="11"/>
      <c r="HQK37" s="11"/>
      <c r="HQL37" s="11"/>
      <c r="HQM37" s="11"/>
      <c r="HQN37" s="11"/>
      <c r="HQO37" s="11"/>
      <c r="HQP37" s="11"/>
      <c r="HQQ37" s="11"/>
      <c r="HQR37" s="11"/>
      <c r="HQS37" s="11"/>
      <c r="HQT37" s="11"/>
      <c r="HQU37" s="11"/>
      <c r="HQV37" s="11"/>
      <c r="HQW37" s="11"/>
      <c r="HQX37" s="11"/>
      <c r="HQY37" s="11"/>
      <c r="HQZ37" s="11"/>
      <c r="HRA37" s="11"/>
      <c r="HRB37" s="11"/>
      <c r="HRC37" s="11"/>
      <c r="HRD37" s="11"/>
      <c r="HRE37" s="11"/>
      <c r="HRF37" s="11"/>
      <c r="HRG37" s="11"/>
      <c r="HRH37" s="11"/>
      <c r="HRI37" s="11"/>
      <c r="HRJ37" s="11"/>
      <c r="HRK37" s="11"/>
      <c r="HRL37" s="11"/>
      <c r="HRM37" s="11"/>
      <c r="HRN37" s="11"/>
      <c r="HRO37" s="11"/>
      <c r="HRP37" s="11"/>
      <c r="HRQ37" s="11"/>
      <c r="HRR37" s="11"/>
      <c r="HRS37" s="11"/>
      <c r="HRT37" s="11"/>
      <c r="HRU37" s="11"/>
      <c r="HRV37" s="11"/>
      <c r="HRW37" s="11"/>
      <c r="HRX37" s="11"/>
      <c r="HRY37" s="11"/>
      <c r="HRZ37" s="11"/>
      <c r="HSA37" s="11"/>
      <c r="HSB37" s="11"/>
      <c r="HSC37" s="11"/>
      <c r="HSD37" s="11"/>
      <c r="HSE37" s="11"/>
      <c r="HSF37" s="11"/>
      <c r="HSG37" s="11"/>
      <c r="HSH37" s="11"/>
      <c r="HSI37" s="11"/>
      <c r="HSJ37" s="11"/>
      <c r="HSK37" s="11"/>
      <c r="HSL37" s="11"/>
      <c r="HSM37" s="11"/>
      <c r="HSN37" s="11"/>
      <c r="HSO37" s="11"/>
      <c r="HSP37" s="11"/>
      <c r="HSQ37" s="11"/>
      <c r="HSR37" s="11"/>
      <c r="HSS37" s="11"/>
      <c r="HST37" s="11"/>
      <c r="HSU37" s="11"/>
      <c r="HSV37" s="11"/>
      <c r="HSW37" s="11"/>
      <c r="HSX37" s="11"/>
      <c r="HSY37" s="11"/>
      <c r="HSZ37" s="11"/>
      <c r="HTA37" s="11"/>
      <c r="HTB37" s="11"/>
      <c r="HTC37" s="11"/>
      <c r="HTD37" s="11"/>
      <c r="HTE37" s="11"/>
      <c r="HTF37" s="11"/>
      <c r="HTG37" s="11"/>
      <c r="HTH37" s="11"/>
      <c r="HTI37" s="11"/>
      <c r="HTJ37" s="11"/>
      <c r="HTK37" s="11"/>
      <c r="HTL37" s="11"/>
      <c r="HTM37" s="11"/>
      <c r="HTN37" s="11"/>
      <c r="HTO37" s="11"/>
      <c r="HTP37" s="11"/>
      <c r="HTQ37" s="11"/>
      <c r="HTR37" s="11"/>
      <c r="HTS37" s="11"/>
      <c r="HTT37" s="11"/>
      <c r="HTU37" s="11"/>
      <c r="HTV37" s="11"/>
      <c r="HTW37" s="11"/>
      <c r="HTX37" s="11"/>
      <c r="HTY37" s="11"/>
      <c r="HTZ37" s="11"/>
      <c r="HUA37" s="11"/>
      <c r="HUB37" s="11"/>
      <c r="HUC37" s="11"/>
      <c r="HUD37" s="11"/>
      <c r="HUE37" s="11"/>
      <c r="HUF37" s="11"/>
      <c r="HUG37" s="11"/>
      <c r="HUH37" s="11"/>
      <c r="HUI37" s="11"/>
      <c r="HUJ37" s="11"/>
      <c r="HUK37" s="11"/>
      <c r="HUL37" s="11"/>
      <c r="HUM37" s="11"/>
      <c r="HUN37" s="11"/>
      <c r="HUO37" s="11"/>
      <c r="HUP37" s="11"/>
      <c r="HUQ37" s="11"/>
      <c r="HUR37" s="11"/>
      <c r="HUS37" s="11"/>
      <c r="HUT37" s="11"/>
      <c r="HUU37" s="11"/>
      <c r="HUV37" s="11"/>
      <c r="HUW37" s="11"/>
      <c r="HUX37" s="11"/>
      <c r="HUY37" s="11"/>
      <c r="HUZ37" s="11"/>
      <c r="HVA37" s="11"/>
      <c r="HVB37" s="11"/>
      <c r="HVC37" s="11"/>
      <c r="HVD37" s="11"/>
      <c r="HVE37" s="11"/>
      <c r="HVF37" s="11"/>
      <c r="HVG37" s="11"/>
      <c r="HVH37" s="11"/>
      <c r="HVI37" s="11"/>
      <c r="HVJ37" s="11"/>
      <c r="HVK37" s="11"/>
      <c r="HVL37" s="11"/>
      <c r="HVM37" s="11"/>
      <c r="HVN37" s="11"/>
      <c r="HVO37" s="11"/>
      <c r="HVP37" s="11"/>
      <c r="HVQ37" s="11"/>
      <c r="HVR37" s="11"/>
      <c r="HVS37" s="11"/>
      <c r="HVT37" s="11"/>
      <c r="HVU37" s="11"/>
      <c r="HVV37" s="11"/>
      <c r="HVW37" s="11"/>
      <c r="HVX37" s="11"/>
      <c r="HVY37" s="11"/>
      <c r="HVZ37" s="11"/>
      <c r="HWA37" s="11"/>
      <c r="HWB37" s="11"/>
      <c r="HWC37" s="11"/>
      <c r="HWD37" s="11"/>
      <c r="HWE37" s="11"/>
      <c r="HWF37" s="11"/>
      <c r="HWG37" s="11"/>
      <c r="HWH37" s="11"/>
      <c r="HWI37" s="11"/>
      <c r="HWJ37" s="11"/>
      <c r="HWK37" s="11"/>
      <c r="HWL37" s="11"/>
      <c r="HWM37" s="11"/>
      <c r="HWN37" s="11"/>
      <c r="HWO37" s="11"/>
      <c r="HWP37" s="11"/>
      <c r="HWQ37" s="11"/>
      <c r="HWR37" s="11"/>
      <c r="HWS37" s="11"/>
      <c r="HWT37" s="11"/>
      <c r="HWU37" s="11"/>
      <c r="HWV37" s="11"/>
      <c r="HWW37" s="11"/>
      <c r="HWX37" s="11"/>
      <c r="HWY37" s="11"/>
      <c r="HWZ37" s="11"/>
      <c r="HXA37" s="11"/>
      <c r="HXB37" s="11"/>
      <c r="HXC37" s="11"/>
      <c r="HXD37" s="11"/>
      <c r="HXE37" s="11"/>
      <c r="HXF37" s="11"/>
      <c r="HXG37" s="11"/>
      <c r="HXH37" s="11"/>
      <c r="HXI37" s="11"/>
      <c r="HXJ37" s="11"/>
      <c r="HXK37" s="11"/>
      <c r="HXL37" s="11"/>
      <c r="HXM37" s="11"/>
      <c r="HXN37" s="11"/>
      <c r="HXO37" s="11"/>
      <c r="HXP37" s="11"/>
      <c r="HXQ37" s="11"/>
      <c r="HXR37" s="11"/>
      <c r="HXS37" s="11"/>
      <c r="HXT37" s="11"/>
      <c r="HXU37" s="11"/>
      <c r="HXV37" s="11"/>
      <c r="HXW37" s="11"/>
      <c r="HXX37" s="11"/>
      <c r="HXY37" s="11"/>
      <c r="HXZ37" s="11"/>
      <c r="HYA37" s="11"/>
      <c r="HYB37" s="11"/>
      <c r="HYC37" s="11"/>
      <c r="HYD37" s="11"/>
      <c r="HYE37" s="11"/>
      <c r="HYF37" s="11"/>
      <c r="HYG37" s="11"/>
      <c r="HYH37" s="11"/>
      <c r="HYI37" s="11"/>
      <c r="HYJ37" s="11"/>
      <c r="HYK37" s="11"/>
      <c r="HYL37" s="11"/>
      <c r="HYM37" s="11"/>
      <c r="HYN37" s="11"/>
      <c r="HYO37" s="11"/>
      <c r="HYP37" s="11"/>
      <c r="HYQ37" s="11"/>
      <c r="HYR37" s="11"/>
      <c r="HYS37" s="11"/>
      <c r="HYT37" s="11"/>
      <c r="HYU37" s="11"/>
      <c r="HYV37" s="11"/>
      <c r="HYW37" s="11"/>
      <c r="HYX37" s="11"/>
      <c r="HYY37" s="11"/>
      <c r="HYZ37" s="11"/>
      <c r="HZA37" s="11"/>
      <c r="HZB37" s="11"/>
      <c r="HZC37" s="11"/>
      <c r="HZD37" s="11"/>
      <c r="HZE37" s="11"/>
      <c r="HZF37" s="11"/>
      <c r="HZG37" s="11"/>
      <c r="HZH37" s="11"/>
      <c r="HZI37" s="11"/>
      <c r="HZJ37" s="11"/>
      <c r="HZK37" s="11"/>
      <c r="HZL37" s="11"/>
      <c r="HZM37" s="11"/>
      <c r="HZN37" s="11"/>
      <c r="HZO37" s="11"/>
      <c r="HZP37" s="11"/>
      <c r="HZQ37" s="11"/>
      <c r="HZR37" s="11"/>
      <c r="HZS37" s="11"/>
      <c r="HZT37" s="11"/>
      <c r="HZU37" s="11"/>
      <c r="HZV37" s="11"/>
      <c r="HZW37" s="11"/>
      <c r="HZX37" s="11"/>
      <c r="HZY37" s="11"/>
      <c r="HZZ37" s="11"/>
      <c r="IAA37" s="11"/>
      <c r="IAB37" s="11"/>
      <c r="IAC37" s="11"/>
      <c r="IAD37" s="11"/>
      <c r="IAE37" s="11"/>
      <c r="IAF37" s="11"/>
      <c r="IAG37" s="11"/>
      <c r="IAH37" s="11"/>
      <c r="IAI37" s="11"/>
      <c r="IAJ37" s="11"/>
      <c r="IAK37" s="11"/>
      <c r="IAL37" s="11"/>
      <c r="IAM37" s="11"/>
      <c r="IAN37" s="11"/>
      <c r="IAO37" s="11"/>
      <c r="IAP37" s="11"/>
      <c r="IAQ37" s="11"/>
      <c r="IAR37" s="11"/>
      <c r="IAS37" s="11"/>
      <c r="IAT37" s="11"/>
      <c r="IAU37" s="11"/>
      <c r="IAV37" s="11"/>
      <c r="IAW37" s="11"/>
      <c r="IAX37" s="11"/>
      <c r="IAY37" s="11"/>
      <c r="IAZ37" s="11"/>
      <c r="IBA37" s="11"/>
      <c r="IBB37" s="11"/>
      <c r="IBC37" s="11"/>
      <c r="IBD37" s="11"/>
      <c r="IBE37" s="11"/>
      <c r="IBF37" s="11"/>
      <c r="IBG37" s="11"/>
      <c r="IBH37" s="11"/>
      <c r="IBI37" s="11"/>
      <c r="IBJ37" s="11"/>
      <c r="IBK37" s="11"/>
      <c r="IBL37" s="11"/>
      <c r="IBM37" s="11"/>
      <c r="IBN37" s="11"/>
      <c r="IBO37" s="11"/>
      <c r="IBP37" s="11"/>
      <c r="IBQ37" s="11"/>
      <c r="IBR37" s="11"/>
      <c r="IBS37" s="11"/>
      <c r="IBT37" s="11"/>
      <c r="IBU37" s="11"/>
      <c r="IBV37" s="11"/>
      <c r="IBW37" s="11"/>
      <c r="IBX37" s="11"/>
      <c r="IBY37" s="11"/>
      <c r="IBZ37" s="11"/>
      <c r="ICA37" s="11"/>
      <c r="ICB37" s="11"/>
      <c r="ICC37" s="11"/>
      <c r="ICD37" s="11"/>
      <c r="ICE37" s="11"/>
      <c r="ICF37" s="11"/>
      <c r="ICG37" s="11"/>
      <c r="ICH37" s="11"/>
      <c r="ICI37" s="11"/>
      <c r="ICJ37" s="11"/>
      <c r="ICK37" s="11"/>
      <c r="ICL37" s="11"/>
      <c r="ICM37" s="11"/>
      <c r="ICN37" s="11"/>
      <c r="ICO37" s="11"/>
      <c r="ICP37" s="11"/>
      <c r="ICQ37" s="11"/>
      <c r="ICR37" s="11"/>
      <c r="ICS37" s="11"/>
      <c r="ICT37" s="11"/>
      <c r="ICU37" s="11"/>
      <c r="ICV37" s="11"/>
      <c r="ICW37" s="11"/>
      <c r="ICX37" s="11"/>
      <c r="ICY37" s="11"/>
      <c r="ICZ37" s="11"/>
      <c r="IDA37" s="11"/>
      <c r="IDB37" s="11"/>
      <c r="IDC37" s="11"/>
      <c r="IDD37" s="11"/>
      <c r="IDE37" s="11"/>
      <c r="IDF37" s="11"/>
      <c r="IDG37" s="11"/>
      <c r="IDH37" s="11"/>
      <c r="IDI37" s="11"/>
      <c r="IDJ37" s="11"/>
      <c r="IDK37" s="11"/>
      <c r="IDL37" s="11"/>
      <c r="IDM37" s="11"/>
      <c r="IDN37" s="11"/>
      <c r="IDO37" s="11"/>
      <c r="IDP37" s="11"/>
      <c r="IDQ37" s="11"/>
      <c r="IDR37" s="11"/>
      <c r="IDS37" s="11"/>
      <c r="IDT37" s="11"/>
      <c r="IDU37" s="11"/>
      <c r="IDV37" s="11"/>
      <c r="IDW37" s="11"/>
      <c r="IDX37" s="11"/>
      <c r="IDY37" s="11"/>
      <c r="IDZ37" s="11"/>
      <c r="IEA37" s="11"/>
      <c r="IEB37" s="11"/>
      <c r="IEC37" s="11"/>
      <c r="IED37" s="11"/>
      <c r="IEE37" s="11"/>
      <c r="IEF37" s="11"/>
      <c r="IEG37" s="11"/>
      <c r="IEH37" s="11"/>
      <c r="IEI37" s="11"/>
      <c r="IEJ37" s="11"/>
      <c r="IEK37" s="11"/>
      <c r="IEL37" s="11"/>
      <c r="IEM37" s="11"/>
      <c r="IEN37" s="11"/>
      <c r="IEO37" s="11"/>
      <c r="IEP37" s="11"/>
      <c r="IEQ37" s="11"/>
      <c r="IER37" s="11"/>
      <c r="IES37" s="11"/>
      <c r="IET37" s="11"/>
      <c r="IEU37" s="11"/>
      <c r="IEV37" s="11"/>
      <c r="IEW37" s="11"/>
      <c r="IEX37" s="11"/>
      <c r="IEY37" s="11"/>
      <c r="IEZ37" s="11"/>
      <c r="IFA37" s="11"/>
      <c r="IFB37" s="11"/>
      <c r="IFC37" s="11"/>
      <c r="IFD37" s="11"/>
      <c r="IFE37" s="11"/>
      <c r="IFF37" s="11"/>
      <c r="IFG37" s="11"/>
      <c r="IFH37" s="11"/>
      <c r="IFI37" s="11"/>
      <c r="IFJ37" s="11"/>
      <c r="IFK37" s="11"/>
      <c r="IFL37" s="11"/>
      <c r="IFM37" s="11"/>
      <c r="IFN37" s="11"/>
      <c r="IFO37" s="11"/>
      <c r="IFP37" s="11"/>
      <c r="IFQ37" s="11"/>
      <c r="IFR37" s="11"/>
      <c r="IFS37" s="11"/>
      <c r="IFT37" s="11"/>
      <c r="IFU37" s="11"/>
      <c r="IFV37" s="11"/>
      <c r="IFW37" s="11"/>
      <c r="IFX37" s="11"/>
      <c r="IFY37" s="11"/>
      <c r="IFZ37" s="11"/>
      <c r="IGA37" s="11"/>
      <c r="IGB37" s="11"/>
      <c r="IGC37" s="11"/>
      <c r="IGD37" s="11"/>
      <c r="IGE37" s="11"/>
      <c r="IGF37" s="11"/>
      <c r="IGG37" s="11"/>
      <c r="IGH37" s="11"/>
      <c r="IGI37" s="11"/>
      <c r="IGJ37" s="11"/>
      <c r="IGK37" s="11"/>
      <c r="IGL37" s="11"/>
      <c r="IGM37" s="11"/>
      <c r="IGN37" s="11"/>
      <c r="IGO37" s="11"/>
      <c r="IGP37" s="11"/>
      <c r="IGQ37" s="11"/>
      <c r="IGR37" s="11"/>
      <c r="IGS37" s="11"/>
      <c r="IGT37" s="11"/>
      <c r="IGU37" s="11"/>
      <c r="IGV37" s="11"/>
      <c r="IGW37" s="11"/>
      <c r="IGX37" s="11"/>
      <c r="IGY37" s="11"/>
      <c r="IGZ37" s="11"/>
      <c r="IHA37" s="11"/>
      <c r="IHB37" s="11"/>
      <c r="IHC37" s="11"/>
      <c r="IHD37" s="11"/>
      <c r="IHE37" s="11"/>
      <c r="IHF37" s="11"/>
      <c r="IHG37" s="11"/>
      <c r="IHH37" s="11"/>
      <c r="IHI37" s="11"/>
      <c r="IHJ37" s="11"/>
      <c r="IHK37" s="11"/>
      <c r="IHL37" s="11"/>
      <c r="IHM37" s="11"/>
      <c r="IHN37" s="11"/>
      <c r="IHO37" s="11"/>
      <c r="IHP37" s="11"/>
      <c r="IHQ37" s="11"/>
      <c r="IHR37" s="11"/>
      <c r="IHS37" s="11"/>
      <c r="IHT37" s="11"/>
      <c r="IHU37" s="11"/>
      <c r="IHV37" s="11"/>
      <c r="IHW37" s="11"/>
      <c r="IHX37" s="11"/>
      <c r="IHY37" s="11"/>
      <c r="IHZ37" s="11"/>
      <c r="IIA37" s="11"/>
      <c r="IIB37" s="11"/>
      <c r="IIC37" s="11"/>
      <c r="IID37" s="11"/>
      <c r="IIE37" s="11"/>
      <c r="IIF37" s="11"/>
      <c r="IIG37" s="11"/>
      <c r="IIH37" s="11"/>
      <c r="III37" s="11"/>
      <c r="IIJ37" s="11"/>
      <c r="IIK37" s="11"/>
      <c r="IIL37" s="11"/>
      <c r="IIM37" s="11"/>
      <c r="IIN37" s="11"/>
      <c r="IIO37" s="11"/>
      <c r="IIP37" s="11"/>
      <c r="IIQ37" s="11"/>
      <c r="IIR37" s="11"/>
      <c r="IIS37" s="11"/>
      <c r="IIT37" s="11"/>
      <c r="IIU37" s="11"/>
      <c r="IIV37" s="11"/>
      <c r="IIW37" s="11"/>
      <c r="IIX37" s="11"/>
      <c r="IIY37" s="11"/>
      <c r="IIZ37" s="11"/>
      <c r="IJA37" s="11"/>
      <c r="IJB37" s="11"/>
      <c r="IJC37" s="11"/>
      <c r="IJD37" s="11"/>
      <c r="IJE37" s="11"/>
      <c r="IJF37" s="11"/>
      <c r="IJG37" s="11"/>
      <c r="IJH37" s="11"/>
      <c r="IJI37" s="11"/>
      <c r="IJJ37" s="11"/>
      <c r="IJK37" s="11"/>
      <c r="IJL37" s="11"/>
      <c r="IJM37" s="11"/>
      <c r="IJN37" s="11"/>
      <c r="IJO37" s="11"/>
      <c r="IJP37" s="11"/>
      <c r="IJQ37" s="11"/>
      <c r="IJR37" s="11"/>
      <c r="IJS37" s="11"/>
      <c r="IJT37" s="11"/>
      <c r="IJU37" s="11"/>
      <c r="IJV37" s="11"/>
      <c r="IJW37" s="11"/>
      <c r="IJX37" s="11"/>
      <c r="IJY37" s="11"/>
      <c r="IJZ37" s="11"/>
      <c r="IKA37" s="11"/>
      <c r="IKB37" s="11"/>
      <c r="IKC37" s="11"/>
      <c r="IKD37" s="11"/>
      <c r="IKE37" s="11"/>
      <c r="IKF37" s="11"/>
      <c r="IKG37" s="11"/>
      <c r="IKH37" s="11"/>
      <c r="IKI37" s="11"/>
      <c r="IKJ37" s="11"/>
      <c r="IKK37" s="11"/>
      <c r="IKL37" s="11"/>
      <c r="IKM37" s="11"/>
      <c r="IKN37" s="11"/>
      <c r="IKO37" s="11"/>
      <c r="IKP37" s="11"/>
      <c r="IKQ37" s="11"/>
      <c r="IKR37" s="11"/>
      <c r="IKS37" s="11"/>
      <c r="IKT37" s="11"/>
      <c r="IKU37" s="11"/>
      <c r="IKV37" s="11"/>
      <c r="IKW37" s="11"/>
      <c r="IKX37" s="11"/>
      <c r="IKY37" s="11"/>
      <c r="IKZ37" s="11"/>
      <c r="ILA37" s="11"/>
      <c r="ILB37" s="11"/>
      <c r="ILC37" s="11"/>
      <c r="ILD37" s="11"/>
      <c r="ILE37" s="11"/>
      <c r="ILF37" s="11"/>
      <c r="ILG37" s="11"/>
      <c r="ILH37" s="11"/>
      <c r="ILI37" s="11"/>
      <c r="ILJ37" s="11"/>
      <c r="ILK37" s="11"/>
      <c r="ILL37" s="11"/>
      <c r="ILM37" s="11"/>
      <c r="ILN37" s="11"/>
      <c r="ILO37" s="11"/>
      <c r="ILP37" s="11"/>
      <c r="ILQ37" s="11"/>
      <c r="ILR37" s="11"/>
      <c r="ILS37" s="11"/>
      <c r="ILT37" s="11"/>
      <c r="ILU37" s="11"/>
      <c r="ILV37" s="11"/>
      <c r="ILW37" s="11"/>
      <c r="ILX37" s="11"/>
      <c r="ILY37" s="11"/>
      <c r="ILZ37" s="11"/>
      <c r="IMA37" s="11"/>
      <c r="IMB37" s="11"/>
      <c r="IMC37" s="11"/>
      <c r="IMD37" s="11"/>
      <c r="IME37" s="11"/>
      <c r="IMF37" s="11"/>
      <c r="IMG37" s="11"/>
      <c r="IMH37" s="11"/>
      <c r="IMI37" s="11"/>
      <c r="IMJ37" s="11"/>
      <c r="IMK37" s="11"/>
      <c r="IML37" s="11"/>
      <c r="IMM37" s="11"/>
      <c r="IMN37" s="11"/>
      <c r="IMO37" s="11"/>
      <c r="IMP37" s="11"/>
      <c r="IMQ37" s="11"/>
      <c r="IMR37" s="11"/>
      <c r="IMS37" s="11"/>
      <c r="IMT37" s="11"/>
      <c r="IMU37" s="11"/>
      <c r="IMV37" s="11"/>
      <c r="IMW37" s="11"/>
      <c r="IMX37" s="11"/>
      <c r="IMY37" s="11"/>
      <c r="IMZ37" s="11"/>
      <c r="INA37" s="11"/>
      <c r="INB37" s="11"/>
      <c r="INC37" s="11"/>
      <c r="IND37" s="11"/>
      <c r="INE37" s="11"/>
      <c r="INF37" s="11"/>
      <c r="ING37" s="11"/>
      <c r="INH37" s="11"/>
      <c r="INI37" s="11"/>
      <c r="INJ37" s="11"/>
      <c r="INK37" s="11"/>
      <c r="INL37" s="11"/>
      <c r="INM37" s="11"/>
      <c r="INN37" s="11"/>
      <c r="INO37" s="11"/>
      <c r="INP37" s="11"/>
      <c r="INQ37" s="11"/>
      <c r="INR37" s="11"/>
      <c r="INS37" s="11"/>
      <c r="INT37" s="11"/>
      <c r="INU37" s="11"/>
      <c r="INV37" s="11"/>
      <c r="INW37" s="11"/>
      <c r="INX37" s="11"/>
      <c r="INY37" s="11"/>
      <c r="INZ37" s="11"/>
      <c r="IOA37" s="11"/>
      <c r="IOB37" s="11"/>
      <c r="IOC37" s="11"/>
      <c r="IOD37" s="11"/>
      <c r="IOE37" s="11"/>
      <c r="IOF37" s="11"/>
      <c r="IOG37" s="11"/>
      <c r="IOH37" s="11"/>
      <c r="IOI37" s="11"/>
      <c r="IOJ37" s="11"/>
      <c r="IOK37" s="11"/>
      <c r="IOL37" s="11"/>
      <c r="IOM37" s="11"/>
      <c r="ION37" s="11"/>
      <c r="IOO37" s="11"/>
      <c r="IOP37" s="11"/>
      <c r="IOQ37" s="11"/>
      <c r="IOR37" s="11"/>
      <c r="IOS37" s="11"/>
      <c r="IOT37" s="11"/>
      <c r="IOU37" s="11"/>
      <c r="IOV37" s="11"/>
      <c r="IOW37" s="11"/>
      <c r="IOX37" s="11"/>
      <c r="IOY37" s="11"/>
      <c r="IOZ37" s="11"/>
      <c r="IPA37" s="11"/>
      <c r="IPB37" s="11"/>
      <c r="IPC37" s="11"/>
      <c r="IPD37" s="11"/>
      <c r="IPE37" s="11"/>
      <c r="IPF37" s="11"/>
      <c r="IPG37" s="11"/>
      <c r="IPH37" s="11"/>
      <c r="IPI37" s="11"/>
      <c r="IPJ37" s="11"/>
      <c r="IPK37" s="11"/>
      <c r="IPL37" s="11"/>
      <c r="IPM37" s="11"/>
      <c r="IPN37" s="11"/>
      <c r="IPO37" s="11"/>
      <c r="IPP37" s="11"/>
      <c r="IPQ37" s="11"/>
      <c r="IPR37" s="11"/>
      <c r="IPS37" s="11"/>
      <c r="IPT37" s="11"/>
      <c r="IPU37" s="11"/>
      <c r="IPV37" s="11"/>
      <c r="IPW37" s="11"/>
      <c r="IPX37" s="11"/>
      <c r="IPY37" s="11"/>
      <c r="IPZ37" s="11"/>
      <c r="IQA37" s="11"/>
      <c r="IQB37" s="11"/>
      <c r="IQC37" s="11"/>
      <c r="IQD37" s="11"/>
      <c r="IQE37" s="11"/>
      <c r="IQF37" s="11"/>
      <c r="IQG37" s="11"/>
      <c r="IQH37" s="11"/>
      <c r="IQI37" s="11"/>
      <c r="IQJ37" s="11"/>
      <c r="IQK37" s="11"/>
      <c r="IQL37" s="11"/>
      <c r="IQM37" s="11"/>
      <c r="IQN37" s="11"/>
      <c r="IQO37" s="11"/>
      <c r="IQP37" s="11"/>
      <c r="IQQ37" s="11"/>
      <c r="IQR37" s="11"/>
      <c r="IQS37" s="11"/>
      <c r="IQT37" s="11"/>
      <c r="IQU37" s="11"/>
      <c r="IQV37" s="11"/>
      <c r="IQW37" s="11"/>
      <c r="IQX37" s="11"/>
      <c r="IQY37" s="11"/>
      <c r="IQZ37" s="11"/>
      <c r="IRA37" s="11"/>
      <c r="IRB37" s="11"/>
      <c r="IRC37" s="11"/>
      <c r="IRD37" s="11"/>
      <c r="IRE37" s="11"/>
      <c r="IRF37" s="11"/>
      <c r="IRG37" s="11"/>
      <c r="IRH37" s="11"/>
      <c r="IRI37" s="11"/>
      <c r="IRJ37" s="11"/>
      <c r="IRK37" s="11"/>
      <c r="IRL37" s="11"/>
      <c r="IRM37" s="11"/>
      <c r="IRN37" s="11"/>
      <c r="IRO37" s="11"/>
      <c r="IRP37" s="11"/>
      <c r="IRQ37" s="11"/>
      <c r="IRR37" s="11"/>
      <c r="IRS37" s="11"/>
      <c r="IRT37" s="11"/>
      <c r="IRU37" s="11"/>
      <c r="IRV37" s="11"/>
      <c r="IRW37" s="11"/>
      <c r="IRX37" s="11"/>
      <c r="IRY37" s="11"/>
      <c r="IRZ37" s="11"/>
      <c r="ISA37" s="11"/>
      <c r="ISB37" s="11"/>
      <c r="ISC37" s="11"/>
      <c r="ISD37" s="11"/>
      <c r="ISE37" s="11"/>
      <c r="ISF37" s="11"/>
      <c r="ISG37" s="11"/>
      <c r="ISH37" s="11"/>
      <c r="ISI37" s="11"/>
      <c r="ISJ37" s="11"/>
      <c r="ISK37" s="11"/>
      <c r="ISL37" s="11"/>
      <c r="ISM37" s="11"/>
      <c r="ISN37" s="11"/>
      <c r="ISO37" s="11"/>
      <c r="ISP37" s="11"/>
      <c r="ISQ37" s="11"/>
      <c r="ISR37" s="11"/>
      <c r="ISS37" s="11"/>
      <c r="IST37" s="11"/>
      <c r="ISU37" s="11"/>
      <c r="ISV37" s="11"/>
      <c r="ISW37" s="11"/>
      <c r="ISX37" s="11"/>
      <c r="ISY37" s="11"/>
      <c r="ISZ37" s="11"/>
      <c r="ITA37" s="11"/>
      <c r="ITB37" s="11"/>
      <c r="ITC37" s="11"/>
      <c r="ITD37" s="11"/>
      <c r="ITE37" s="11"/>
      <c r="ITF37" s="11"/>
      <c r="ITG37" s="11"/>
      <c r="ITH37" s="11"/>
      <c r="ITI37" s="11"/>
      <c r="ITJ37" s="11"/>
      <c r="ITK37" s="11"/>
      <c r="ITL37" s="11"/>
      <c r="ITM37" s="11"/>
      <c r="ITN37" s="11"/>
      <c r="ITO37" s="11"/>
      <c r="ITP37" s="11"/>
      <c r="ITQ37" s="11"/>
      <c r="ITR37" s="11"/>
      <c r="ITS37" s="11"/>
      <c r="ITT37" s="11"/>
      <c r="ITU37" s="11"/>
      <c r="ITV37" s="11"/>
      <c r="ITW37" s="11"/>
      <c r="ITX37" s="11"/>
      <c r="ITY37" s="11"/>
      <c r="ITZ37" s="11"/>
      <c r="IUA37" s="11"/>
      <c r="IUB37" s="11"/>
      <c r="IUC37" s="11"/>
      <c r="IUD37" s="11"/>
      <c r="IUE37" s="11"/>
      <c r="IUF37" s="11"/>
      <c r="IUG37" s="11"/>
      <c r="IUH37" s="11"/>
      <c r="IUI37" s="11"/>
      <c r="IUJ37" s="11"/>
      <c r="IUK37" s="11"/>
      <c r="IUL37" s="11"/>
      <c r="IUM37" s="11"/>
      <c r="IUN37" s="11"/>
      <c r="IUO37" s="11"/>
      <c r="IUP37" s="11"/>
      <c r="IUQ37" s="11"/>
      <c r="IUR37" s="11"/>
      <c r="IUS37" s="11"/>
      <c r="IUT37" s="11"/>
      <c r="IUU37" s="11"/>
      <c r="IUV37" s="11"/>
      <c r="IUW37" s="11"/>
      <c r="IUX37" s="11"/>
      <c r="IUY37" s="11"/>
      <c r="IUZ37" s="11"/>
      <c r="IVA37" s="11"/>
      <c r="IVB37" s="11"/>
      <c r="IVC37" s="11"/>
      <c r="IVD37" s="11"/>
      <c r="IVE37" s="11"/>
      <c r="IVF37" s="11"/>
      <c r="IVG37" s="11"/>
      <c r="IVH37" s="11"/>
      <c r="IVI37" s="11"/>
      <c r="IVJ37" s="11"/>
      <c r="IVK37" s="11"/>
      <c r="IVL37" s="11"/>
      <c r="IVM37" s="11"/>
      <c r="IVN37" s="11"/>
      <c r="IVO37" s="11"/>
      <c r="IVP37" s="11"/>
      <c r="IVQ37" s="11"/>
      <c r="IVR37" s="11"/>
      <c r="IVS37" s="11"/>
      <c r="IVT37" s="11"/>
      <c r="IVU37" s="11"/>
      <c r="IVV37" s="11"/>
      <c r="IVW37" s="11"/>
      <c r="IVX37" s="11"/>
      <c r="IVY37" s="11"/>
      <c r="IVZ37" s="11"/>
      <c r="IWA37" s="11"/>
      <c r="IWB37" s="11"/>
      <c r="IWC37" s="11"/>
      <c r="IWD37" s="11"/>
      <c r="IWE37" s="11"/>
      <c r="IWF37" s="11"/>
      <c r="IWG37" s="11"/>
      <c r="IWH37" s="11"/>
      <c r="IWI37" s="11"/>
      <c r="IWJ37" s="11"/>
      <c r="IWK37" s="11"/>
      <c r="IWL37" s="11"/>
      <c r="IWM37" s="11"/>
      <c r="IWN37" s="11"/>
      <c r="IWO37" s="11"/>
      <c r="IWP37" s="11"/>
      <c r="IWQ37" s="11"/>
      <c r="IWR37" s="11"/>
      <c r="IWS37" s="11"/>
      <c r="IWT37" s="11"/>
      <c r="IWU37" s="11"/>
      <c r="IWV37" s="11"/>
      <c r="IWW37" s="11"/>
      <c r="IWX37" s="11"/>
      <c r="IWY37" s="11"/>
      <c r="IWZ37" s="11"/>
      <c r="IXA37" s="11"/>
      <c r="IXB37" s="11"/>
      <c r="IXC37" s="11"/>
      <c r="IXD37" s="11"/>
      <c r="IXE37" s="11"/>
      <c r="IXF37" s="11"/>
      <c r="IXG37" s="11"/>
      <c r="IXH37" s="11"/>
      <c r="IXI37" s="11"/>
      <c r="IXJ37" s="11"/>
      <c r="IXK37" s="11"/>
      <c r="IXL37" s="11"/>
      <c r="IXM37" s="11"/>
      <c r="IXN37" s="11"/>
      <c r="IXO37" s="11"/>
      <c r="IXP37" s="11"/>
      <c r="IXQ37" s="11"/>
      <c r="IXR37" s="11"/>
      <c r="IXS37" s="11"/>
      <c r="IXT37" s="11"/>
      <c r="IXU37" s="11"/>
      <c r="IXV37" s="11"/>
      <c r="IXW37" s="11"/>
      <c r="IXX37" s="11"/>
      <c r="IXY37" s="11"/>
      <c r="IXZ37" s="11"/>
      <c r="IYA37" s="11"/>
      <c r="IYB37" s="11"/>
      <c r="IYC37" s="11"/>
      <c r="IYD37" s="11"/>
      <c r="IYE37" s="11"/>
      <c r="IYF37" s="11"/>
      <c r="IYG37" s="11"/>
      <c r="IYH37" s="11"/>
      <c r="IYI37" s="11"/>
      <c r="IYJ37" s="11"/>
      <c r="IYK37" s="11"/>
      <c r="IYL37" s="11"/>
      <c r="IYM37" s="11"/>
      <c r="IYN37" s="11"/>
      <c r="IYO37" s="11"/>
      <c r="IYP37" s="11"/>
      <c r="IYQ37" s="11"/>
      <c r="IYR37" s="11"/>
      <c r="IYS37" s="11"/>
      <c r="IYT37" s="11"/>
      <c r="IYU37" s="11"/>
      <c r="IYV37" s="11"/>
      <c r="IYW37" s="11"/>
      <c r="IYX37" s="11"/>
      <c r="IYY37" s="11"/>
      <c r="IYZ37" s="11"/>
      <c r="IZA37" s="11"/>
      <c r="IZB37" s="11"/>
      <c r="IZC37" s="11"/>
      <c r="IZD37" s="11"/>
      <c r="IZE37" s="11"/>
      <c r="IZF37" s="11"/>
      <c r="IZG37" s="11"/>
      <c r="IZH37" s="11"/>
      <c r="IZI37" s="11"/>
      <c r="IZJ37" s="11"/>
      <c r="IZK37" s="11"/>
      <c r="IZL37" s="11"/>
      <c r="IZM37" s="11"/>
      <c r="IZN37" s="11"/>
      <c r="IZO37" s="11"/>
      <c r="IZP37" s="11"/>
      <c r="IZQ37" s="11"/>
      <c r="IZR37" s="11"/>
      <c r="IZS37" s="11"/>
      <c r="IZT37" s="11"/>
      <c r="IZU37" s="11"/>
      <c r="IZV37" s="11"/>
      <c r="IZW37" s="11"/>
      <c r="IZX37" s="11"/>
      <c r="IZY37" s="11"/>
      <c r="IZZ37" s="11"/>
      <c r="JAA37" s="11"/>
      <c r="JAB37" s="11"/>
      <c r="JAC37" s="11"/>
      <c r="JAD37" s="11"/>
      <c r="JAE37" s="11"/>
      <c r="JAF37" s="11"/>
      <c r="JAG37" s="11"/>
      <c r="JAH37" s="11"/>
      <c r="JAI37" s="11"/>
      <c r="JAJ37" s="11"/>
      <c r="JAK37" s="11"/>
      <c r="JAL37" s="11"/>
      <c r="JAM37" s="11"/>
      <c r="JAN37" s="11"/>
      <c r="JAO37" s="11"/>
      <c r="JAP37" s="11"/>
      <c r="JAQ37" s="11"/>
      <c r="JAR37" s="11"/>
      <c r="JAS37" s="11"/>
      <c r="JAT37" s="11"/>
      <c r="JAU37" s="11"/>
      <c r="JAV37" s="11"/>
      <c r="JAW37" s="11"/>
      <c r="JAX37" s="11"/>
      <c r="JAY37" s="11"/>
      <c r="JAZ37" s="11"/>
      <c r="JBA37" s="11"/>
      <c r="JBB37" s="11"/>
      <c r="JBC37" s="11"/>
      <c r="JBD37" s="11"/>
      <c r="JBE37" s="11"/>
      <c r="JBF37" s="11"/>
      <c r="JBG37" s="11"/>
      <c r="JBH37" s="11"/>
      <c r="JBI37" s="11"/>
      <c r="JBJ37" s="11"/>
      <c r="JBK37" s="11"/>
      <c r="JBL37" s="11"/>
      <c r="JBM37" s="11"/>
      <c r="JBN37" s="11"/>
      <c r="JBO37" s="11"/>
      <c r="JBP37" s="11"/>
      <c r="JBQ37" s="11"/>
      <c r="JBR37" s="11"/>
      <c r="JBS37" s="11"/>
      <c r="JBT37" s="11"/>
      <c r="JBU37" s="11"/>
      <c r="JBV37" s="11"/>
      <c r="JBW37" s="11"/>
      <c r="JBX37" s="11"/>
      <c r="JBY37" s="11"/>
      <c r="JBZ37" s="11"/>
      <c r="JCA37" s="11"/>
      <c r="JCB37" s="11"/>
      <c r="JCC37" s="11"/>
      <c r="JCD37" s="11"/>
      <c r="JCE37" s="11"/>
      <c r="JCF37" s="11"/>
      <c r="JCG37" s="11"/>
      <c r="JCH37" s="11"/>
      <c r="JCI37" s="11"/>
      <c r="JCJ37" s="11"/>
      <c r="JCK37" s="11"/>
      <c r="JCL37" s="11"/>
      <c r="JCM37" s="11"/>
      <c r="JCN37" s="11"/>
      <c r="JCO37" s="11"/>
      <c r="JCP37" s="11"/>
      <c r="JCQ37" s="11"/>
      <c r="JCR37" s="11"/>
      <c r="JCS37" s="11"/>
      <c r="JCT37" s="11"/>
      <c r="JCU37" s="11"/>
      <c r="JCV37" s="11"/>
      <c r="JCW37" s="11"/>
      <c r="JCX37" s="11"/>
      <c r="JCY37" s="11"/>
      <c r="JCZ37" s="11"/>
      <c r="JDA37" s="11"/>
      <c r="JDB37" s="11"/>
      <c r="JDC37" s="11"/>
      <c r="JDD37" s="11"/>
      <c r="JDE37" s="11"/>
      <c r="JDF37" s="11"/>
      <c r="JDG37" s="11"/>
      <c r="JDH37" s="11"/>
      <c r="JDI37" s="11"/>
      <c r="JDJ37" s="11"/>
      <c r="JDK37" s="11"/>
      <c r="JDL37" s="11"/>
      <c r="JDM37" s="11"/>
      <c r="JDN37" s="11"/>
      <c r="JDO37" s="11"/>
      <c r="JDP37" s="11"/>
      <c r="JDQ37" s="11"/>
      <c r="JDR37" s="11"/>
      <c r="JDS37" s="11"/>
      <c r="JDT37" s="11"/>
      <c r="JDU37" s="11"/>
      <c r="JDV37" s="11"/>
      <c r="JDW37" s="11"/>
      <c r="JDX37" s="11"/>
      <c r="JDY37" s="11"/>
      <c r="JDZ37" s="11"/>
      <c r="JEA37" s="11"/>
      <c r="JEB37" s="11"/>
      <c r="JEC37" s="11"/>
      <c r="JED37" s="11"/>
      <c r="JEE37" s="11"/>
      <c r="JEF37" s="11"/>
      <c r="JEG37" s="11"/>
      <c r="JEH37" s="11"/>
      <c r="JEI37" s="11"/>
      <c r="JEJ37" s="11"/>
      <c r="JEK37" s="11"/>
      <c r="JEL37" s="11"/>
      <c r="JEM37" s="11"/>
      <c r="JEN37" s="11"/>
      <c r="JEO37" s="11"/>
      <c r="JEP37" s="11"/>
      <c r="JEQ37" s="11"/>
      <c r="JER37" s="11"/>
      <c r="JES37" s="11"/>
      <c r="JET37" s="11"/>
      <c r="JEU37" s="11"/>
      <c r="JEV37" s="11"/>
      <c r="JEW37" s="11"/>
      <c r="JEX37" s="11"/>
      <c r="JEY37" s="11"/>
      <c r="JEZ37" s="11"/>
      <c r="JFA37" s="11"/>
      <c r="JFB37" s="11"/>
      <c r="JFC37" s="11"/>
      <c r="JFD37" s="11"/>
      <c r="JFE37" s="11"/>
      <c r="JFF37" s="11"/>
      <c r="JFG37" s="11"/>
      <c r="JFH37" s="11"/>
      <c r="JFI37" s="11"/>
      <c r="JFJ37" s="11"/>
      <c r="JFK37" s="11"/>
      <c r="JFL37" s="11"/>
      <c r="JFM37" s="11"/>
      <c r="JFN37" s="11"/>
      <c r="JFO37" s="11"/>
      <c r="JFP37" s="11"/>
      <c r="JFQ37" s="11"/>
      <c r="JFR37" s="11"/>
      <c r="JFS37" s="11"/>
      <c r="JFT37" s="11"/>
      <c r="JFU37" s="11"/>
      <c r="JFV37" s="11"/>
      <c r="JFW37" s="11"/>
      <c r="JFX37" s="11"/>
      <c r="JFY37" s="11"/>
      <c r="JFZ37" s="11"/>
      <c r="JGA37" s="11"/>
      <c r="JGB37" s="11"/>
      <c r="JGC37" s="11"/>
      <c r="JGD37" s="11"/>
      <c r="JGE37" s="11"/>
      <c r="JGF37" s="11"/>
      <c r="JGG37" s="11"/>
      <c r="JGH37" s="11"/>
      <c r="JGI37" s="11"/>
      <c r="JGJ37" s="11"/>
      <c r="JGK37" s="11"/>
      <c r="JGL37" s="11"/>
      <c r="JGM37" s="11"/>
      <c r="JGN37" s="11"/>
      <c r="JGO37" s="11"/>
      <c r="JGP37" s="11"/>
      <c r="JGQ37" s="11"/>
      <c r="JGR37" s="11"/>
      <c r="JGS37" s="11"/>
      <c r="JGT37" s="11"/>
      <c r="JGU37" s="11"/>
      <c r="JGV37" s="11"/>
      <c r="JGW37" s="11"/>
      <c r="JGX37" s="11"/>
      <c r="JGY37" s="11"/>
      <c r="JGZ37" s="11"/>
      <c r="JHA37" s="11"/>
      <c r="JHB37" s="11"/>
      <c r="JHC37" s="11"/>
      <c r="JHD37" s="11"/>
      <c r="JHE37" s="11"/>
      <c r="JHF37" s="11"/>
      <c r="JHG37" s="11"/>
      <c r="JHH37" s="11"/>
      <c r="JHI37" s="11"/>
      <c r="JHJ37" s="11"/>
      <c r="JHK37" s="11"/>
      <c r="JHL37" s="11"/>
      <c r="JHM37" s="11"/>
      <c r="JHN37" s="11"/>
      <c r="JHO37" s="11"/>
      <c r="JHP37" s="11"/>
      <c r="JHQ37" s="11"/>
      <c r="JHR37" s="11"/>
      <c r="JHS37" s="11"/>
      <c r="JHT37" s="11"/>
      <c r="JHU37" s="11"/>
      <c r="JHV37" s="11"/>
      <c r="JHW37" s="11"/>
      <c r="JHX37" s="11"/>
      <c r="JHY37" s="11"/>
      <c r="JHZ37" s="11"/>
      <c r="JIA37" s="11"/>
      <c r="JIB37" s="11"/>
      <c r="JIC37" s="11"/>
      <c r="JID37" s="11"/>
      <c r="JIE37" s="11"/>
      <c r="JIF37" s="11"/>
      <c r="JIG37" s="11"/>
      <c r="JIH37" s="11"/>
      <c r="JII37" s="11"/>
      <c r="JIJ37" s="11"/>
      <c r="JIK37" s="11"/>
      <c r="JIL37" s="11"/>
      <c r="JIM37" s="11"/>
      <c r="JIN37" s="11"/>
      <c r="JIO37" s="11"/>
      <c r="JIP37" s="11"/>
      <c r="JIQ37" s="11"/>
      <c r="JIR37" s="11"/>
      <c r="JIS37" s="11"/>
      <c r="JIT37" s="11"/>
      <c r="JIU37" s="11"/>
      <c r="JIV37" s="11"/>
      <c r="JIW37" s="11"/>
      <c r="JIX37" s="11"/>
      <c r="JIY37" s="11"/>
      <c r="JIZ37" s="11"/>
      <c r="JJA37" s="11"/>
      <c r="JJB37" s="11"/>
      <c r="JJC37" s="11"/>
      <c r="JJD37" s="11"/>
      <c r="JJE37" s="11"/>
      <c r="JJF37" s="11"/>
      <c r="JJG37" s="11"/>
      <c r="JJH37" s="11"/>
      <c r="JJI37" s="11"/>
      <c r="JJJ37" s="11"/>
      <c r="JJK37" s="11"/>
      <c r="JJL37" s="11"/>
      <c r="JJM37" s="11"/>
      <c r="JJN37" s="11"/>
      <c r="JJO37" s="11"/>
      <c r="JJP37" s="11"/>
      <c r="JJQ37" s="11"/>
      <c r="JJR37" s="11"/>
      <c r="JJS37" s="11"/>
      <c r="JJT37" s="11"/>
      <c r="JJU37" s="11"/>
      <c r="JJV37" s="11"/>
      <c r="JJW37" s="11"/>
      <c r="JJX37" s="11"/>
      <c r="JJY37" s="11"/>
      <c r="JJZ37" s="11"/>
      <c r="JKA37" s="11"/>
      <c r="JKB37" s="11"/>
      <c r="JKC37" s="11"/>
      <c r="JKD37" s="11"/>
      <c r="JKE37" s="11"/>
      <c r="JKF37" s="11"/>
      <c r="JKG37" s="11"/>
      <c r="JKH37" s="11"/>
      <c r="JKI37" s="11"/>
      <c r="JKJ37" s="11"/>
      <c r="JKK37" s="11"/>
      <c r="JKL37" s="11"/>
      <c r="JKM37" s="11"/>
      <c r="JKN37" s="11"/>
      <c r="JKO37" s="11"/>
      <c r="JKP37" s="11"/>
      <c r="JKQ37" s="11"/>
      <c r="JKR37" s="11"/>
      <c r="JKS37" s="11"/>
      <c r="JKT37" s="11"/>
      <c r="JKU37" s="11"/>
      <c r="JKV37" s="11"/>
      <c r="JKW37" s="11"/>
      <c r="JKX37" s="11"/>
      <c r="JKY37" s="11"/>
      <c r="JKZ37" s="11"/>
      <c r="JLA37" s="11"/>
      <c r="JLB37" s="11"/>
      <c r="JLC37" s="11"/>
      <c r="JLD37" s="11"/>
      <c r="JLE37" s="11"/>
      <c r="JLF37" s="11"/>
      <c r="JLG37" s="11"/>
      <c r="JLH37" s="11"/>
      <c r="JLI37" s="11"/>
      <c r="JLJ37" s="11"/>
      <c r="JLK37" s="11"/>
      <c r="JLL37" s="11"/>
      <c r="JLM37" s="11"/>
      <c r="JLN37" s="11"/>
      <c r="JLO37" s="11"/>
      <c r="JLP37" s="11"/>
      <c r="JLQ37" s="11"/>
      <c r="JLR37" s="11"/>
      <c r="JLS37" s="11"/>
      <c r="JLT37" s="11"/>
      <c r="JLU37" s="11"/>
      <c r="JLV37" s="11"/>
      <c r="JLW37" s="11"/>
      <c r="JLX37" s="11"/>
      <c r="JLY37" s="11"/>
      <c r="JLZ37" s="11"/>
      <c r="JMA37" s="11"/>
      <c r="JMB37" s="11"/>
      <c r="JMC37" s="11"/>
      <c r="JMD37" s="11"/>
      <c r="JME37" s="11"/>
      <c r="JMF37" s="11"/>
      <c r="JMG37" s="11"/>
      <c r="JMH37" s="11"/>
      <c r="JMI37" s="11"/>
      <c r="JMJ37" s="11"/>
      <c r="JMK37" s="11"/>
      <c r="JML37" s="11"/>
      <c r="JMM37" s="11"/>
      <c r="JMN37" s="11"/>
      <c r="JMO37" s="11"/>
      <c r="JMP37" s="11"/>
      <c r="JMQ37" s="11"/>
      <c r="JMR37" s="11"/>
      <c r="JMS37" s="11"/>
      <c r="JMT37" s="11"/>
      <c r="JMU37" s="11"/>
      <c r="JMV37" s="11"/>
      <c r="JMW37" s="11"/>
      <c r="JMX37" s="11"/>
      <c r="JMY37" s="11"/>
      <c r="JMZ37" s="11"/>
      <c r="JNA37" s="11"/>
      <c r="JNB37" s="11"/>
      <c r="JNC37" s="11"/>
      <c r="JND37" s="11"/>
      <c r="JNE37" s="11"/>
      <c r="JNF37" s="11"/>
      <c r="JNG37" s="11"/>
      <c r="JNH37" s="11"/>
      <c r="JNI37" s="11"/>
      <c r="JNJ37" s="11"/>
      <c r="JNK37" s="11"/>
      <c r="JNL37" s="11"/>
      <c r="JNM37" s="11"/>
      <c r="JNN37" s="11"/>
      <c r="JNO37" s="11"/>
      <c r="JNP37" s="11"/>
      <c r="JNQ37" s="11"/>
      <c r="JNR37" s="11"/>
      <c r="JNS37" s="11"/>
      <c r="JNT37" s="11"/>
      <c r="JNU37" s="11"/>
      <c r="JNV37" s="11"/>
      <c r="JNW37" s="11"/>
      <c r="JNX37" s="11"/>
      <c r="JNY37" s="11"/>
      <c r="JNZ37" s="11"/>
      <c r="JOA37" s="11"/>
      <c r="JOB37" s="11"/>
      <c r="JOC37" s="11"/>
      <c r="JOD37" s="11"/>
      <c r="JOE37" s="11"/>
      <c r="JOF37" s="11"/>
      <c r="JOG37" s="11"/>
      <c r="JOH37" s="11"/>
      <c r="JOI37" s="11"/>
      <c r="JOJ37" s="11"/>
      <c r="JOK37" s="11"/>
      <c r="JOL37" s="11"/>
      <c r="JOM37" s="11"/>
      <c r="JON37" s="11"/>
      <c r="JOO37" s="11"/>
      <c r="JOP37" s="11"/>
      <c r="JOQ37" s="11"/>
      <c r="JOR37" s="11"/>
      <c r="JOS37" s="11"/>
      <c r="JOT37" s="11"/>
      <c r="JOU37" s="11"/>
      <c r="JOV37" s="11"/>
      <c r="JOW37" s="11"/>
      <c r="JOX37" s="11"/>
      <c r="JOY37" s="11"/>
      <c r="JOZ37" s="11"/>
      <c r="JPA37" s="11"/>
      <c r="JPB37" s="11"/>
      <c r="JPC37" s="11"/>
      <c r="JPD37" s="11"/>
      <c r="JPE37" s="11"/>
      <c r="JPF37" s="11"/>
      <c r="JPG37" s="11"/>
      <c r="JPH37" s="11"/>
      <c r="JPI37" s="11"/>
      <c r="JPJ37" s="11"/>
      <c r="JPK37" s="11"/>
      <c r="JPL37" s="11"/>
      <c r="JPM37" s="11"/>
      <c r="JPN37" s="11"/>
      <c r="JPO37" s="11"/>
      <c r="JPP37" s="11"/>
      <c r="JPQ37" s="11"/>
      <c r="JPR37" s="11"/>
      <c r="JPS37" s="11"/>
      <c r="JPT37" s="11"/>
      <c r="JPU37" s="11"/>
      <c r="JPV37" s="11"/>
      <c r="JPW37" s="11"/>
      <c r="JPX37" s="11"/>
      <c r="JPY37" s="11"/>
      <c r="JPZ37" s="11"/>
      <c r="JQA37" s="11"/>
      <c r="JQB37" s="11"/>
      <c r="JQC37" s="11"/>
      <c r="JQD37" s="11"/>
      <c r="JQE37" s="11"/>
      <c r="JQF37" s="11"/>
      <c r="JQG37" s="11"/>
      <c r="JQH37" s="11"/>
      <c r="JQI37" s="11"/>
      <c r="JQJ37" s="11"/>
      <c r="JQK37" s="11"/>
      <c r="JQL37" s="11"/>
      <c r="JQM37" s="11"/>
      <c r="JQN37" s="11"/>
      <c r="JQO37" s="11"/>
      <c r="JQP37" s="11"/>
      <c r="JQQ37" s="11"/>
      <c r="JQR37" s="11"/>
      <c r="JQS37" s="11"/>
      <c r="JQT37" s="11"/>
      <c r="JQU37" s="11"/>
      <c r="JQV37" s="11"/>
      <c r="JQW37" s="11"/>
      <c r="JQX37" s="11"/>
      <c r="JQY37" s="11"/>
      <c r="JQZ37" s="11"/>
      <c r="JRA37" s="11"/>
      <c r="JRB37" s="11"/>
      <c r="JRC37" s="11"/>
      <c r="JRD37" s="11"/>
      <c r="JRE37" s="11"/>
      <c r="JRF37" s="11"/>
      <c r="JRG37" s="11"/>
      <c r="JRH37" s="11"/>
      <c r="JRI37" s="11"/>
      <c r="JRJ37" s="11"/>
      <c r="JRK37" s="11"/>
      <c r="JRL37" s="11"/>
      <c r="JRM37" s="11"/>
      <c r="JRN37" s="11"/>
      <c r="JRO37" s="11"/>
      <c r="JRP37" s="11"/>
      <c r="JRQ37" s="11"/>
      <c r="JRR37" s="11"/>
      <c r="JRS37" s="11"/>
      <c r="JRT37" s="11"/>
      <c r="JRU37" s="11"/>
      <c r="JRV37" s="11"/>
      <c r="JRW37" s="11"/>
      <c r="JRX37" s="11"/>
      <c r="JRY37" s="11"/>
      <c r="JRZ37" s="11"/>
      <c r="JSA37" s="11"/>
      <c r="JSB37" s="11"/>
      <c r="JSC37" s="11"/>
      <c r="JSD37" s="11"/>
      <c r="JSE37" s="11"/>
      <c r="JSF37" s="11"/>
      <c r="JSG37" s="11"/>
      <c r="JSH37" s="11"/>
      <c r="JSI37" s="11"/>
      <c r="JSJ37" s="11"/>
      <c r="JSK37" s="11"/>
      <c r="JSL37" s="11"/>
      <c r="JSM37" s="11"/>
      <c r="JSN37" s="11"/>
      <c r="JSO37" s="11"/>
      <c r="JSP37" s="11"/>
      <c r="JSQ37" s="11"/>
      <c r="JSR37" s="11"/>
      <c r="JSS37" s="11"/>
      <c r="JST37" s="11"/>
      <c r="JSU37" s="11"/>
      <c r="JSV37" s="11"/>
      <c r="JSW37" s="11"/>
      <c r="JSX37" s="11"/>
      <c r="JSY37" s="11"/>
      <c r="JSZ37" s="11"/>
      <c r="JTA37" s="11"/>
      <c r="JTB37" s="11"/>
      <c r="JTC37" s="11"/>
      <c r="JTD37" s="11"/>
      <c r="JTE37" s="11"/>
      <c r="JTF37" s="11"/>
      <c r="JTG37" s="11"/>
      <c r="JTH37" s="11"/>
      <c r="JTI37" s="11"/>
      <c r="JTJ37" s="11"/>
      <c r="JTK37" s="11"/>
      <c r="JTL37" s="11"/>
      <c r="JTM37" s="11"/>
      <c r="JTN37" s="11"/>
      <c r="JTO37" s="11"/>
      <c r="JTP37" s="11"/>
      <c r="JTQ37" s="11"/>
      <c r="JTR37" s="11"/>
      <c r="JTS37" s="11"/>
      <c r="JTT37" s="11"/>
      <c r="JTU37" s="11"/>
      <c r="JTV37" s="11"/>
      <c r="JTW37" s="11"/>
      <c r="JTX37" s="11"/>
      <c r="JTY37" s="11"/>
      <c r="JTZ37" s="11"/>
      <c r="JUA37" s="11"/>
      <c r="JUB37" s="11"/>
      <c r="JUC37" s="11"/>
      <c r="JUD37" s="11"/>
      <c r="JUE37" s="11"/>
      <c r="JUF37" s="11"/>
      <c r="JUG37" s="11"/>
      <c r="JUH37" s="11"/>
      <c r="JUI37" s="11"/>
      <c r="JUJ37" s="11"/>
      <c r="JUK37" s="11"/>
      <c r="JUL37" s="11"/>
      <c r="JUM37" s="11"/>
      <c r="JUN37" s="11"/>
      <c r="JUO37" s="11"/>
      <c r="JUP37" s="11"/>
      <c r="JUQ37" s="11"/>
      <c r="JUR37" s="11"/>
      <c r="JUS37" s="11"/>
      <c r="JUT37" s="11"/>
      <c r="JUU37" s="11"/>
      <c r="JUV37" s="11"/>
      <c r="JUW37" s="11"/>
      <c r="JUX37" s="11"/>
      <c r="JUY37" s="11"/>
      <c r="JUZ37" s="11"/>
      <c r="JVA37" s="11"/>
      <c r="JVB37" s="11"/>
      <c r="JVC37" s="11"/>
      <c r="JVD37" s="11"/>
      <c r="JVE37" s="11"/>
      <c r="JVF37" s="11"/>
      <c r="JVG37" s="11"/>
      <c r="JVH37" s="11"/>
      <c r="JVI37" s="11"/>
      <c r="JVJ37" s="11"/>
      <c r="JVK37" s="11"/>
      <c r="JVL37" s="11"/>
      <c r="JVM37" s="11"/>
      <c r="JVN37" s="11"/>
      <c r="JVO37" s="11"/>
      <c r="JVP37" s="11"/>
      <c r="JVQ37" s="11"/>
      <c r="JVR37" s="11"/>
      <c r="JVS37" s="11"/>
      <c r="JVT37" s="11"/>
      <c r="JVU37" s="11"/>
      <c r="JVV37" s="11"/>
      <c r="JVW37" s="11"/>
      <c r="JVX37" s="11"/>
      <c r="JVY37" s="11"/>
      <c r="JVZ37" s="11"/>
      <c r="JWA37" s="11"/>
      <c r="JWB37" s="11"/>
      <c r="JWC37" s="11"/>
      <c r="JWD37" s="11"/>
      <c r="JWE37" s="11"/>
      <c r="JWF37" s="11"/>
      <c r="JWG37" s="11"/>
      <c r="JWH37" s="11"/>
      <c r="JWI37" s="11"/>
      <c r="JWJ37" s="11"/>
      <c r="JWK37" s="11"/>
      <c r="JWL37" s="11"/>
      <c r="JWM37" s="11"/>
      <c r="JWN37" s="11"/>
      <c r="JWO37" s="11"/>
      <c r="JWP37" s="11"/>
      <c r="JWQ37" s="11"/>
      <c r="JWR37" s="11"/>
      <c r="JWS37" s="11"/>
      <c r="JWT37" s="11"/>
      <c r="JWU37" s="11"/>
      <c r="JWV37" s="11"/>
      <c r="JWW37" s="11"/>
      <c r="JWX37" s="11"/>
      <c r="JWY37" s="11"/>
      <c r="JWZ37" s="11"/>
      <c r="JXA37" s="11"/>
      <c r="JXB37" s="11"/>
      <c r="JXC37" s="11"/>
      <c r="JXD37" s="11"/>
      <c r="JXE37" s="11"/>
      <c r="JXF37" s="11"/>
      <c r="JXG37" s="11"/>
      <c r="JXH37" s="11"/>
      <c r="JXI37" s="11"/>
      <c r="JXJ37" s="11"/>
      <c r="JXK37" s="11"/>
      <c r="JXL37" s="11"/>
      <c r="JXM37" s="11"/>
      <c r="JXN37" s="11"/>
      <c r="JXO37" s="11"/>
      <c r="JXP37" s="11"/>
      <c r="JXQ37" s="11"/>
      <c r="JXR37" s="11"/>
      <c r="JXS37" s="11"/>
      <c r="JXT37" s="11"/>
      <c r="JXU37" s="11"/>
      <c r="JXV37" s="11"/>
      <c r="JXW37" s="11"/>
      <c r="JXX37" s="11"/>
      <c r="JXY37" s="11"/>
      <c r="JXZ37" s="11"/>
      <c r="JYA37" s="11"/>
      <c r="JYB37" s="11"/>
      <c r="JYC37" s="11"/>
      <c r="JYD37" s="11"/>
      <c r="JYE37" s="11"/>
      <c r="JYF37" s="11"/>
      <c r="JYG37" s="11"/>
      <c r="JYH37" s="11"/>
      <c r="JYI37" s="11"/>
      <c r="JYJ37" s="11"/>
      <c r="JYK37" s="11"/>
      <c r="JYL37" s="11"/>
      <c r="JYM37" s="11"/>
      <c r="JYN37" s="11"/>
      <c r="JYO37" s="11"/>
      <c r="JYP37" s="11"/>
      <c r="JYQ37" s="11"/>
      <c r="JYR37" s="11"/>
      <c r="JYS37" s="11"/>
      <c r="JYT37" s="11"/>
      <c r="JYU37" s="11"/>
      <c r="JYV37" s="11"/>
      <c r="JYW37" s="11"/>
      <c r="JYX37" s="11"/>
      <c r="JYY37" s="11"/>
      <c r="JYZ37" s="11"/>
      <c r="JZA37" s="11"/>
      <c r="JZB37" s="11"/>
      <c r="JZC37" s="11"/>
      <c r="JZD37" s="11"/>
      <c r="JZE37" s="11"/>
      <c r="JZF37" s="11"/>
      <c r="JZG37" s="11"/>
      <c r="JZH37" s="11"/>
      <c r="JZI37" s="11"/>
      <c r="JZJ37" s="11"/>
      <c r="JZK37" s="11"/>
      <c r="JZL37" s="11"/>
      <c r="JZM37" s="11"/>
      <c r="JZN37" s="11"/>
      <c r="JZO37" s="11"/>
      <c r="JZP37" s="11"/>
      <c r="JZQ37" s="11"/>
      <c r="JZR37" s="11"/>
      <c r="JZS37" s="11"/>
      <c r="JZT37" s="11"/>
      <c r="JZU37" s="11"/>
      <c r="JZV37" s="11"/>
      <c r="JZW37" s="11"/>
      <c r="JZX37" s="11"/>
      <c r="JZY37" s="11"/>
      <c r="JZZ37" s="11"/>
      <c r="KAA37" s="11"/>
      <c r="KAB37" s="11"/>
      <c r="KAC37" s="11"/>
      <c r="KAD37" s="11"/>
      <c r="KAE37" s="11"/>
      <c r="KAF37" s="11"/>
      <c r="KAG37" s="11"/>
      <c r="KAH37" s="11"/>
      <c r="KAI37" s="11"/>
      <c r="KAJ37" s="11"/>
      <c r="KAK37" s="11"/>
      <c r="KAL37" s="11"/>
      <c r="KAM37" s="11"/>
      <c r="KAN37" s="11"/>
      <c r="KAO37" s="11"/>
      <c r="KAP37" s="11"/>
      <c r="KAQ37" s="11"/>
      <c r="KAR37" s="11"/>
      <c r="KAS37" s="11"/>
      <c r="KAT37" s="11"/>
      <c r="KAU37" s="11"/>
      <c r="KAV37" s="11"/>
      <c r="KAW37" s="11"/>
      <c r="KAX37" s="11"/>
      <c r="KAY37" s="11"/>
      <c r="KAZ37" s="11"/>
      <c r="KBA37" s="11"/>
      <c r="KBB37" s="11"/>
      <c r="KBC37" s="11"/>
      <c r="KBD37" s="11"/>
      <c r="KBE37" s="11"/>
      <c r="KBF37" s="11"/>
      <c r="KBG37" s="11"/>
      <c r="KBH37" s="11"/>
      <c r="KBI37" s="11"/>
      <c r="KBJ37" s="11"/>
      <c r="KBK37" s="11"/>
      <c r="KBL37" s="11"/>
      <c r="KBM37" s="11"/>
      <c r="KBN37" s="11"/>
      <c r="KBO37" s="11"/>
      <c r="KBP37" s="11"/>
      <c r="KBQ37" s="11"/>
      <c r="KBR37" s="11"/>
      <c r="KBS37" s="11"/>
      <c r="KBT37" s="11"/>
      <c r="KBU37" s="11"/>
      <c r="KBV37" s="11"/>
      <c r="KBW37" s="11"/>
      <c r="KBX37" s="11"/>
      <c r="KBY37" s="11"/>
      <c r="KBZ37" s="11"/>
      <c r="KCA37" s="11"/>
      <c r="KCB37" s="11"/>
      <c r="KCC37" s="11"/>
      <c r="KCD37" s="11"/>
      <c r="KCE37" s="11"/>
      <c r="KCF37" s="11"/>
      <c r="KCG37" s="11"/>
      <c r="KCH37" s="11"/>
      <c r="KCI37" s="11"/>
      <c r="KCJ37" s="11"/>
      <c r="KCK37" s="11"/>
      <c r="KCL37" s="11"/>
      <c r="KCM37" s="11"/>
      <c r="KCN37" s="11"/>
      <c r="KCO37" s="11"/>
      <c r="KCP37" s="11"/>
      <c r="KCQ37" s="11"/>
      <c r="KCR37" s="11"/>
      <c r="KCS37" s="11"/>
      <c r="KCT37" s="11"/>
      <c r="KCU37" s="11"/>
      <c r="KCV37" s="11"/>
      <c r="KCW37" s="11"/>
      <c r="KCX37" s="11"/>
      <c r="KCY37" s="11"/>
      <c r="KCZ37" s="11"/>
      <c r="KDA37" s="11"/>
      <c r="KDB37" s="11"/>
      <c r="KDC37" s="11"/>
      <c r="KDD37" s="11"/>
      <c r="KDE37" s="11"/>
      <c r="KDF37" s="11"/>
      <c r="KDG37" s="11"/>
      <c r="KDH37" s="11"/>
      <c r="KDI37" s="11"/>
      <c r="KDJ37" s="11"/>
      <c r="KDK37" s="11"/>
      <c r="KDL37" s="11"/>
      <c r="KDM37" s="11"/>
      <c r="KDN37" s="11"/>
      <c r="KDO37" s="11"/>
      <c r="KDP37" s="11"/>
      <c r="KDQ37" s="11"/>
      <c r="KDR37" s="11"/>
      <c r="KDS37" s="11"/>
      <c r="KDT37" s="11"/>
      <c r="KDU37" s="11"/>
      <c r="KDV37" s="11"/>
      <c r="KDW37" s="11"/>
      <c r="KDX37" s="11"/>
      <c r="KDY37" s="11"/>
      <c r="KDZ37" s="11"/>
      <c r="KEA37" s="11"/>
      <c r="KEB37" s="11"/>
      <c r="KEC37" s="11"/>
      <c r="KED37" s="11"/>
      <c r="KEE37" s="11"/>
      <c r="KEF37" s="11"/>
      <c r="KEG37" s="11"/>
      <c r="KEH37" s="11"/>
      <c r="KEI37" s="11"/>
      <c r="KEJ37" s="11"/>
      <c r="KEK37" s="11"/>
      <c r="KEL37" s="11"/>
      <c r="KEM37" s="11"/>
      <c r="KEN37" s="11"/>
      <c r="KEO37" s="11"/>
      <c r="KEP37" s="11"/>
      <c r="KEQ37" s="11"/>
      <c r="KER37" s="11"/>
      <c r="KES37" s="11"/>
      <c r="KET37" s="11"/>
      <c r="KEU37" s="11"/>
      <c r="KEV37" s="11"/>
      <c r="KEW37" s="11"/>
      <c r="KEX37" s="11"/>
      <c r="KEY37" s="11"/>
      <c r="KEZ37" s="11"/>
      <c r="KFA37" s="11"/>
      <c r="KFB37" s="11"/>
      <c r="KFC37" s="11"/>
      <c r="KFD37" s="11"/>
      <c r="KFE37" s="11"/>
      <c r="KFF37" s="11"/>
      <c r="KFG37" s="11"/>
      <c r="KFH37" s="11"/>
      <c r="KFI37" s="11"/>
      <c r="KFJ37" s="11"/>
      <c r="KFK37" s="11"/>
      <c r="KFL37" s="11"/>
      <c r="KFM37" s="11"/>
      <c r="KFN37" s="11"/>
      <c r="KFO37" s="11"/>
      <c r="KFP37" s="11"/>
      <c r="KFQ37" s="11"/>
      <c r="KFR37" s="11"/>
      <c r="KFS37" s="11"/>
      <c r="KFT37" s="11"/>
      <c r="KFU37" s="11"/>
      <c r="KFV37" s="11"/>
      <c r="KFW37" s="11"/>
      <c r="KFX37" s="11"/>
      <c r="KFY37" s="11"/>
      <c r="KFZ37" s="11"/>
      <c r="KGA37" s="11"/>
      <c r="KGB37" s="11"/>
      <c r="KGC37" s="11"/>
      <c r="KGD37" s="11"/>
      <c r="KGE37" s="11"/>
      <c r="KGF37" s="11"/>
      <c r="KGG37" s="11"/>
      <c r="KGH37" s="11"/>
      <c r="KGI37" s="11"/>
      <c r="KGJ37" s="11"/>
      <c r="KGK37" s="11"/>
      <c r="KGL37" s="11"/>
      <c r="KGM37" s="11"/>
      <c r="KGN37" s="11"/>
      <c r="KGO37" s="11"/>
      <c r="KGP37" s="11"/>
      <c r="KGQ37" s="11"/>
      <c r="KGR37" s="11"/>
      <c r="KGS37" s="11"/>
      <c r="KGT37" s="11"/>
      <c r="KGU37" s="11"/>
      <c r="KGV37" s="11"/>
      <c r="KGW37" s="11"/>
      <c r="KGX37" s="11"/>
      <c r="KGY37" s="11"/>
      <c r="KGZ37" s="11"/>
      <c r="KHA37" s="11"/>
      <c r="KHB37" s="11"/>
      <c r="KHC37" s="11"/>
      <c r="KHD37" s="11"/>
      <c r="KHE37" s="11"/>
      <c r="KHF37" s="11"/>
      <c r="KHG37" s="11"/>
      <c r="KHH37" s="11"/>
      <c r="KHI37" s="11"/>
      <c r="KHJ37" s="11"/>
      <c r="KHK37" s="11"/>
      <c r="KHL37" s="11"/>
      <c r="KHM37" s="11"/>
      <c r="KHN37" s="11"/>
      <c r="KHO37" s="11"/>
      <c r="KHP37" s="11"/>
      <c r="KHQ37" s="11"/>
      <c r="KHR37" s="11"/>
      <c r="KHS37" s="11"/>
      <c r="KHT37" s="11"/>
      <c r="KHU37" s="11"/>
      <c r="KHV37" s="11"/>
      <c r="KHW37" s="11"/>
      <c r="KHX37" s="11"/>
      <c r="KHY37" s="11"/>
      <c r="KHZ37" s="11"/>
      <c r="KIA37" s="11"/>
      <c r="KIB37" s="11"/>
      <c r="KIC37" s="11"/>
      <c r="KID37" s="11"/>
      <c r="KIE37" s="11"/>
      <c r="KIF37" s="11"/>
      <c r="KIG37" s="11"/>
      <c r="KIH37" s="11"/>
      <c r="KII37" s="11"/>
      <c r="KIJ37" s="11"/>
      <c r="KIK37" s="11"/>
      <c r="KIL37" s="11"/>
      <c r="KIM37" s="11"/>
      <c r="KIN37" s="11"/>
      <c r="KIO37" s="11"/>
      <c r="KIP37" s="11"/>
      <c r="KIQ37" s="11"/>
      <c r="KIR37" s="11"/>
      <c r="KIS37" s="11"/>
      <c r="KIT37" s="11"/>
      <c r="KIU37" s="11"/>
      <c r="KIV37" s="11"/>
      <c r="KIW37" s="11"/>
      <c r="KIX37" s="11"/>
      <c r="KIY37" s="11"/>
      <c r="KIZ37" s="11"/>
      <c r="KJA37" s="11"/>
      <c r="KJB37" s="11"/>
      <c r="KJC37" s="11"/>
      <c r="KJD37" s="11"/>
      <c r="KJE37" s="11"/>
      <c r="KJF37" s="11"/>
      <c r="KJG37" s="11"/>
      <c r="KJH37" s="11"/>
      <c r="KJI37" s="11"/>
      <c r="KJJ37" s="11"/>
      <c r="KJK37" s="11"/>
      <c r="KJL37" s="11"/>
      <c r="KJM37" s="11"/>
      <c r="KJN37" s="11"/>
      <c r="KJO37" s="11"/>
      <c r="KJP37" s="11"/>
      <c r="KJQ37" s="11"/>
      <c r="KJR37" s="11"/>
      <c r="KJS37" s="11"/>
      <c r="KJT37" s="11"/>
      <c r="KJU37" s="11"/>
      <c r="KJV37" s="11"/>
      <c r="KJW37" s="11"/>
      <c r="KJX37" s="11"/>
      <c r="KJY37" s="11"/>
      <c r="KJZ37" s="11"/>
      <c r="KKA37" s="11"/>
      <c r="KKB37" s="11"/>
      <c r="KKC37" s="11"/>
      <c r="KKD37" s="11"/>
      <c r="KKE37" s="11"/>
      <c r="KKF37" s="11"/>
      <c r="KKG37" s="11"/>
      <c r="KKH37" s="11"/>
      <c r="KKI37" s="11"/>
      <c r="KKJ37" s="11"/>
      <c r="KKK37" s="11"/>
      <c r="KKL37" s="11"/>
      <c r="KKM37" s="11"/>
      <c r="KKN37" s="11"/>
      <c r="KKO37" s="11"/>
      <c r="KKP37" s="11"/>
      <c r="KKQ37" s="11"/>
      <c r="KKR37" s="11"/>
      <c r="KKS37" s="11"/>
      <c r="KKT37" s="11"/>
      <c r="KKU37" s="11"/>
      <c r="KKV37" s="11"/>
      <c r="KKW37" s="11"/>
      <c r="KKX37" s="11"/>
      <c r="KKY37" s="11"/>
      <c r="KKZ37" s="11"/>
      <c r="KLA37" s="11"/>
      <c r="KLB37" s="11"/>
      <c r="KLC37" s="11"/>
      <c r="KLD37" s="11"/>
      <c r="KLE37" s="11"/>
      <c r="KLF37" s="11"/>
      <c r="KLG37" s="11"/>
      <c r="KLH37" s="11"/>
      <c r="KLI37" s="11"/>
      <c r="KLJ37" s="11"/>
      <c r="KLK37" s="11"/>
      <c r="KLL37" s="11"/>
      <c r="KLM37" s="11"/>
      <c r="KLN37" s="11"/>
      <c r="KLO37" s="11"/>
      <c r="KLP37" s="11"/>
      <c r="KLQ37" s="11"/>
      <c r="KLR37" s="11"/>
      <c r="KLS37" s="11"/>
      <c r="KLT37" s="11"/>
      <c r="KLU37" s="11"/>
      <c r="KLV37" s="11"/>
      <c r="KLW37" s="11"/>
      <c r="KLX37" s="11"/>
      <c r="KLY37" s="11"/>
      <c r="KLZ37" s="11"/>
      <c r="KMA37" s="11"/>
      <c r="KMB37" s="11"/>
      <c r="KMC37" s="11"/>
      <c r="KMD37" s="11"/>
      <c r="KME37" s="11"/>
      <c r="KMF37" s="11"/>
      <c r="KMG37" s="11"/>
      <c r="KMH37" s="11"/>
      <c r="KMI37" s="11"/>
      <c r="KMJ37" s="11"/>
      <c r="KMK37" s="11"/>
      <c r="KML37" s="11"/>
      <c r="KMM37" s="11"/>
      <c r="KMN37" s="11"/>
      <c r="KMO37" s="11"/>
      <c r="KMP37" s="11"/>
      <c r="KMQ37" s="11"/>
      <c r="KMR37" s="11"/>
      <c r="KMS37" s="11"/>
      <c r="KMT37" s="11"/>
      <c r="KMU37" s="11"/>
      <c r="KMV37" s="11"/>
      <c r="KMW37" s="11"/>
      <c r="KMX37" s="11"/>
      <c r="KMY37" s="11"/>
      <c r="KMZ37" s="11"/>
      <c r="KNA37" s="11"/>
      <c r="KNB37" s="11"/>
      <c r="KNC37" s="11"/>
      <c r="KND37" s="11"/>
      <c r="KNE37" s="11"/>
      <c r="KNF37" s="11"/>
      <c r="KNG37" s="11"/>
      <c r="KNH37" s="11"/>
      <c r="KNI37" s="11"/>
      <c r="KNJ37" s="11"/>
      <c r="KNK37" s="11"/>
      <c r="KNL37" s="11"/>
      <c r="KNM37" s="11"/>
      <c r="KNN37" s="11"/>
      <c r="KNO37" s="11"/>
      <c r="KNP37" s="11"/>
      <c r="KNQ37" s="11"/>
      <c r="KNR37" s="11"/>
      <c r="KNS37" s="11"/>
      <c r="KNT37" s="11"/>
      <c r="KNU37" s="11"/>
      <c r="KNV37" s="11"/>
      <c r="KNW37" s="11"/>
      <c r="KNX37" s="11"/>
      <c r="KNY37" s="11"/>
      <c r="KNZ37" s="11"/>
      <c r="KOA37" s="11"/>
      <c r="KOB37" s="11"/>
      <c r="KOC37" s="11"/>
      <c r="KOD37" s="11"/>
      <c r="KOE37" s="11"/>
      <c r="KOF37" s="11"/>
      <c r="KOG37" s="11"/>
      <c r="KOH37" s="11"/>
      <c r="KOI37" s="11"/>
      <c r="KOJ37" s="11"/>
      <c r="KOK37" s="11"/>
      <c r="KOL37" s="11"/>
      <c r="KOM37" s="11"/>
      <c r="KON37" s="11"/>
      <c r="KOO37" s="11"/>
      <c r="KOP37" s="11"/>
      <c r="KOQ37" s="11"/>
      <c r="KOR37" s="11"/>
      <c r="KOS37" s="11"/>
      <c r="KOT37" s="11"/>
      <c r="KOU37" s="11"/>
      <c r="KOV37" s="11"/>
      <c r="KOW37" s="11"/>
      <c r="KOX37" s="11"/>
      <c r="KOY37" s="11"/>
      <c r="KOZ37" s="11"/>
      <c r="KPA37" s="11"/>
      <c r="KPB37" s="11"/>
      <c r="KPC37" s="11"/>
      <c r="KPD37" s="11"/>
      <c r="KPE37" s="11"/>
      <c r="KPF37" s="11"/>
      <c r="KPG37" s="11"/>
      <c r="KPH37" s="11"/>
      <c r="KPI37" s="11"/>
      <c r="KPJ37" s="11"/>
      <c r="KPK37" s="11"/>
      <c r="KPL37" s="11"/>
      <c r="KPM37" s="11"/>
      <c r="KPN37" s="11"/>
      <c r="KPO37" s="11"/>
      <c r="KPP37" s="11"/>
      <c r="KPQ37" s="11"/>
      <c r="KPR37" s="11"/>
      <c r="KPS37" s="11"/>
      <c r="KPT37" s="11"/>
      <c r="KPU37" s="11"/>
      <c r="KPV37" s="11"/>
      <c r="KPW37" s="11"/>
      <c r="KPX37" s="11"/>
      <c r="KPY37" s="11"/>
      <c r="KPZ37" s="11"/>
      <c r="KQA37" s="11"/>
      <c r="KQB37" s="11"/>
      <c r="KQC37" s="11"/>
      <c r="KQD37" s="11"/>
      <c r="KQE37" s="11"/>
      <c r="KQF37" s="11"/>
      <c r="KQG37" s="11"/>
      <c r="KQH37" s="11"/>
      <c r="KQI37" s="11"/>
      <c r="KQJ37" s="11"/>
      <c r="KQK37" s="11"/>
      <c r="KQL37" s="11"/>
      <c r="KQM37" s="11"/>
      <c r="KQN37" s="11"/>
      <c r="KQO37" s="11"/>
      <c r="KQP37" s="11"/>
      <c r="KQQ37" s="11"/>
      <c r="KQR37" s="11"/>
      <c r="KQS37" s="11"/>
      <c r="KQT37" s="11"/>
      <c r="KQU37" s="11"/>
      <c r="KQV37" s="11"/>
      <c r="KQW37" s="11"/>
      <c r="KQX37" s="11"/>
      <c r="KQY37" s="11"/>
      <c r="KQZ37" s="11"/>
      <c r="KRA37" s="11"/>
      <c r="KRB37" s="11"/>
      <c r="KRC37" s="11"/>
      <c r="KRD37" s="11"/>
      <c r="KRE37" s="11"/>
      <c r="KRF37" s="11"/>
      <c r="KRG37" s="11"/>
      <c r="KRH37" s="11"/>
      <c r="KRI37" s="11"/>
      <c r="KRJ37" s="11"/>
      <c r="KRK37" s="11"/>
      <c r="KRL37" s="11"/>
      <c r="KRM37" s="11"/>
      <c r="KRN37" s="11"/>
      <c r="KRO37" s="11"/>
      <c r="KRP37" s="11"/>
      <c r="KRQ37" s="11"/>
      <c r="KRR37" s="11"/>
      <c r="KRS37" s="11"/>
      <c r="KRT37" s="11"/>
      <c r="KRU37" s="11"/>
      <c r="KRV37" s="11"/>
      <c r="KRW37" s="11"/>
      <c r="KRX37" s="11"/>
      <c r="KRY37" s="11"/>
      <c r="KRZ37" s="11"/>
      <c r="KSA37" s="11"/>
      <c r="KSB37" s="11"/>
      <c r="KSC37" s="11"/>
      <c r="KSD37" s="11"/>
      <c r="KSE37" s="11"/>
      <c r="KSF37" s="11"/>
      <c r="KSG37" s="11"/>
      <c r="KSH37" s="11"/>
      <c r="KSI37" s="11"/>
      <c r="KSJ37" s="11"/>
      <c r="KSK37" s="11"/>
      <c r="KSL37" s="11"/>
      <c r="KSM37" s="11"/>
      <c r="KSN37" s="11"/>
      <c r="KSO37" s="11"/>
      <c r="KSP37" s="11"/>
      <c r="KSQ37" s="11"/>
      <c r="KSR37" s="11"/>
      <c r="KSS37" s="11"/>
      <c r="KST37" s="11"/>
      <c r="KSU37" s="11"/>
      <c r="KSV37" s="11"/>
      <c r="KSW37" s="11"/>
      <c r="KSX37" s="11"/>
      <c r="KSY37" s="11"/>
      <c r="KSZ37" s="11"/>
      <c r="KTA37" s="11"/>
      <c r="KTB37" s="11"/>
      <c r="KTC37" s="11"/>
      <c r="KTD37" s="11"/>
      <c r="KTE37" s="11"/>
      <c r="KTF37" s="11"/>
      <c r="KTG37" s="11"/>
      <c r="KTH37" s="11"/>
      <c r="KTI37" s="11"/>
      <c r="KTJ37" s="11"/>
      <c r="KTK37" s="11"/>
      <c r="KTL37" s="11"/>
      <c r="KTM37" s="11"/>
      <c r="KTN37" s="11"/>
      <c r="KTO37" s="11"/>
      <c r="KTP37" s="11"/>
      <c r="KTQ37" s="11"/>
      <c r="KTR37" s="11"/>
      <c r="KTS37" s="11"/>
      <c r="KTT37" s="11"/>
      <c r="KTU37" s="11"/>
      <c r="KTV37" s="11"/>
      <c r="KTW37" s="11"/>
      <c r="KTX37" s="11"/>
      <c r="KTY37" s="11"/>
      <c r="KTZ37" s="11"/>
      <c r="KUA37" s="11"/>
      <c r="KUB37" s="11"/>
      <c r="KUC37" s="11"/>
      <c r="KUD37" s="11"/>
      <c r="KUE37" s="11"/>
      <c r="KUF37" s="11"/>
      <c r="KUG37" s="11"/>
      <c r="KUH37" s="11"/>
      <c r="KUI37" s="11"/>
      <c r="KUJ37" s="11"/>
      <c r="KUK37" s="11"/>
      <c r="KUL37" s="11"/>
      <c r="KUM37" s="11"/>
      <c r="KUN37" s="11"/>
      <c r="KUO37" s="11"/>
      <c r="KUP37" s="11"/>
      <c r="KUQ37" s="11"/>
      <c r="KUR37" s="11"/>
      <c r="KUS37" s="11"/>
      <c r="KUT37" s="11"/>
      <c r="KUU37" s="11"/>
      <c r="KUV37" s="11"/>
      <c r="KUW37" s="11"/>
      <c r="KUX37" s="11"/>
      <c r="KUY37" s="11"/>
      <c r="KUZ37" s="11"/>
      <c r="KVA37" s="11"/>
      <c r="KVB37" s="11"/>
      <c r="KVC37" s="11"/>
      <c r="KVD37" s="11"/>
      <c r="KVE37" s="11"/>
      <c r="KVF37" s="11"/>
      <c r="KVG37" s="11"/>
      <c r="KVH37" s="11"/>
      <c r="KVI37" s="11"/>
      <c r="KVJ37" s="11"/>
      <c r="KVK37" s="11"/>
      <c r="KVL37" s="11"/>
      <c r="KVM37" s="11"/>
      <c r="KVN37" s="11"/>
      <c r="KVO37" s="11"/>
      <c r="KVP37" s="11"/>
      <c r="KVQ37" s="11"/>
      <c r="KVR37" s="11"/>
      <c r="KVS37" s="11"/>
      <c r="KVT37" s="11"/>
      <c r="KVU37" s="11"/>
      <c r="KVV37" s="11"/>
      <c r="KVW37" s="11"/>
      <c r="KVX37" s="11"/>
      <c r="KVY37" s="11"/>
      <c r="KVZ37" s="11"/>
      <c r="KWA37" s="11"/>
      <c r="KWB37" s="11"/>
      <c r="KWC37" s="11"/>
      <c r="KWD37" s="11"/>
      <c r="KWE37" s="11"/>
      <c r="KWF37" s="11"/>
      <c r="KWG37" s="11"/>
      <c r="KWH37" s="11"/>
      <c r="KWI37" s="11"/>
      <c r="KWJ37" s="11"/>
      <c r="KWK37" s="11"/>
      <c r="KWL37" s="11"/>
      <c r="KWM37" s="11"/>
      <c r="KWN37" s="11"/>
      <c r="KWO37" s="11"/>
      <c r="KWP37" s="11"/>
      <c r="KWQ37" s="11"/>
      <c r="KWR37" s="11"/>
      <c r="KWS37" s="11"/>
      <c r="KWT37" s="11"/>
      <c r="KWU37" s="11"/>
      <c r="KWV37" s="11"/>
      <c r="KWW37" s="11"/>
      <c r="KWX37" s="11"/>
      <c r="KWY37" s="11"/>
      <c r="KWZ37" s="11"/>
      <c r="KXA37" s="11"/>
      <c r="KXB37" s="11"/>
      <c r="KXC37" s="11"/>
      <c r="KXD37" s="11"/>
      <c r="KXE37" s="11"/>
      <c r="KXF37" s="11"/>
      <c r="KXG37" s="11"/>
      <c r="KXH37" s="11"/>
      <c r="KXI37" s="11"/>
      <c r="KXJ37" s="11"/>
      <c r="KXK37" s="11"/>
      <c r="KXL37" s="11"/>
      <c r="KXM37" s="11"/>
      <c r="KXN37" s="11"/>
      <c r="KXO37" s="11"/>
      <c r="KXP37" s="11"/>
      <c r="KXQ37" s="11"/>
      <c r="KXR37" s="11"/>
      <c r="KXS37" s="11"/>
      <c r="KXT37" s="11"/>
      <c r="KXU37" s="11"/>
      <c r="KXV37" s="11"/>
      <c r="KXW37" s="11"/>
      <c r="KXX37" s="11"/>
      <c r="KXY37" s="11"/>
      <c r="KXZ37" s="11"/>
      <c r="KYA37" s="11"/>
      <c r="KYB37" s="11"/>
      <c r="KYC37" s="11"/>
      <c r="KYD37" s="11"/>
      <c r="KYE37" s="11"/>
      <c r="KYF37" s="11"/>
      <c r="KYG37" s="11"/>
      <c r="KYH37" s="11"/>
      <c r="KYI37" s="11"/>
      <c r="KYJ37" s="11"/>
      <c r="KYK37" s="11"/>
      <c r="KYL37" s="11"/>
      <c r="KYM37" s="11"/>
      <c r="KYN37" s="11"/>
      <c r="KYO37" s="11"/>
      <c r="KYP37" s="11"/>
      <c r="KYQ37" s="11"/>
      <c r="KYR37" s="11"/>
      <c r="KYS37" s="11"/>
      <c r="KYT37" s="11"/>
      <c r="KYU37" s="11"/>
      <c r="KYV37" s="11"/>
      <c r="KYW37" s="11"/>
      <c r="KYX37" s="11"/>
      <c r="KYY37" s="11"/>
      <c r="KYZ37" s="11"/>
      <c r="KZA37" s="11"/>
      <c r="KZB37" s="11"/>
      <c r="KZC37" s="11"/>
      <c r="KZD37" s="11"/>
      <c r="KZE37" s="11"/>
      <c r="KZF37" s="11"/>
      <c r="KZG37" s="11"/>
      <c r="KZH37" s="11"/>
      <c r="KZI37" s="11"/>
      <c r="KZJ37" s="11"/>
      <c r="KZK37" s="11"/>
      <c r="KZL37" s="11"/>
      <c r="KZM37" s="11"/>
      <c r="KZN37" s="11"/>
      <c r="KZO37" s="11"/>
      <c r="KZP37" s="11"/>
      <c r="KZQ37" s="11"/>
      <c r="KZR37" s="11"/>
      <c r="KZS37" s="11"/>
      <c r="KZT37" s="11"/>
      <c r="KZU37" s="11"/>
      <c r="KZV37" s="11"/>
      <c r="KZW37" s="11"/>
      <c r="KZX37" s="11"/>
      <c r="KZY37" s="11"/>
      <c r="KZZ37" s="11"/>
      <c r="LAA37" s="11"/>
      <c r="LAB37" s="11"/>
      <c r="LAC37" s="11"/>
      <c r="LAD37" s="11"/>
      <c r="LAE37" s="11"/>
      <c r="LAF37" s="11"/>
      <c r="LAG37" s="11"/>
      <c r="LAH37" s="11"/>
      <c r="LAI37" s="11"/>
      <c r="LAJ37" s="11"/>
      <c r="LAK37" s="11"/>
      <c r="LAL37" s="11"/>
      <c r="LAM37" s="11"/>
      <c r="LAN37" s="11"/>
      <c r="LAO37" s="11"/>
      <c r="LAP37" s="11"/>
      <c r="LAQ37" s="11"/>
      <c r="LAR37" s="11"/>
      <c r="LAS37" s="11"/>
      <c r="LAT37" s="11"/>
      <c r="LAU37" s="11"/>
      <c r="LAV37" s="11"/>
      <c r="LAW37" s="11"/>
      <c r="LAX37" s="11"/>
      <c r="LAY37" s="11"/>
      <c r="LAZ37" s="11"/>
      <c r="LBA37" s="11"/>
      <c r="LBB37" s="11"/>
      <c r="LBC37" s="11"/>
      <c r="LBD37" s="11"/>
      <c r="LBE37" s="11"/>
      <c r="LBF37" s="11"/>
      <c r="LBG37" s="11"/>
      <c r="LBH37" s="11"/>
      <c r="LBI37" s="11"/>
      <c r="LBJ37" s="11"/>
      <c r="LBK37" s="11"/>
      <c r="LBL37" s="11"/>
      <c r="LBM37" s="11"/>
      <c r="LBN37" s="11"/>
      <c r="LBO37" s="11"/>
      <c r="LBP37" s="11"/>
      <c r="LBQ37" s="11"/>
      <c r="LBR37" s="11"/>
      <c r="LBS37" s="11"/>
      <c r="LBT37" s="11"/>
      <c r="LBU37" s="11"/>
      <c r="LBV37" s="11"/>
      <c r="LBW37" s="11"/>
      <c r="LBX37" s="11"/>
      <c r="LBY37" s="11"/>
      <c r="LBZ37" s="11"/>
      <c r="LCA37" s="11"/>
      <c r="LCB37" s="11"/>
      <c r="LCC37" s="11"/>
      <c r="LCD37" s="11"/>
      <c r="LCE37" s="11"/>
      <c r="LCF37" s="11"/>
      <c r="LCG37" s="11"/>
      <c r="LCH37" s="11"/>
      <c r="LCI37" s="11"/>
      <c r="LCJ37" s="11"/>
      <c r="LCK37" s="11"/>
      <c r="LCL37" s="11"/>
      <c r="LCM37" s="11"/>
      <c r="LCN37" s="11"/>
      <c r="LCO37" s="11"/>
      <c r="LCP37" s="11"/>
      <c r="LCQ37" s="11"/>
      <c r="LCR37" s="11"/>
      <c r="LCS37" s="11"/>
      <c r="LCT37" s="11"/>
      <c r="LCU37" s="11"/>
      <c r="LCV37" s="11"/>
      <c r="LCW37" s="11"/>
      <c r="LCX37" s="11"/>
      <c r="LCY37" s="11"/>
      <c r="LCZ37" s="11"/>
      <c r="LDA37" s="11"/>
      <c r="LDB37" s="11"/>
      <c r="LDC37" s="11"/>
      <c r="LDD37" s="11"/>
      <c r="LDE37" s="11"/>
      <c r="LDF37" s="11"/>
      <c r="LDG37" s="11"/>
      <c r="LDH37" s="11"/>
      <c r="LDI37" s="11"/>
      <c r="LDJ37" s="11"/>
      <c r="LDK37" s="11"/>
      <c r="LDL37" s="11"/>
      <c r="LDM37" s="11"/>
      <c r="LDN37" s="11"/>
      <c r="LDO37" s="11"/>
      <c r="LDP37" s="11"/>
      <c r="LDQ37" s="11"/>
      <c r="LDR37" s="11"/>
      <c r="LDS37" s="11"/>
      <c r="LDT37" s="11"/>
      <c r="LDU37" s="11"/>
      <c r="LDV37" s="11"/>
      <c r="LDW37" s="11"/>
      <c r="LDX37" s="11"/>
      <c r="LDY37" s="11"/>
      <c r="LDZ37" s="11"/>
      <c r="LEA37" s="11"/>
      <c r="LEB37" s="11"/>
      <c r="LEC37" s="11"/>
      <c r="LED37" s="11"/>
      <c r="LEE37" s="11"/>
      <c r="LEF37" s="11"/>
      <c r="LEG37" s="11"/>
      <c r="LEH37" s="11"/>
      <c r="LEI37" s="11"/>
      <c r="LEJ37" s="11"/>
      <c r="LEK37" s="11"/>
      <c r="LEL37" s="11"/>
      <c r="LEM37" s="11"/>
      <c r="LEN37" s="11"/>
      <c r="LEO37" s="11"/>
      <c r="LEP37" s="11"/>
      <c r="LEQ37" s="11"/>
      <c r="LER37" s="11"/>
      <c r="LES37" s="11"/>
      <c r="LET37" s="11"/>
      <c r="LEU37" s="11"/>
      <c r="LEV37" s="11"/>
      <c r="LEW37" s="11"/>
      <c r="LEX37" s="11"/>
      <c r="LEY37" s="11"/>
      <c r="LEZ37" s="11"/>
      <c r="LFA37" s="11"/>
      <c r="LFB37" s="11"/>
      <c r="LFC37" s="11"/>
      <c r="LFD37" s="11"/>
      <c r="LFE37" s="11"/>
      <c r="LFF37" s="11"/>
      <c r="LFG37" s="11"/>
      <c r="LFH37" s="11"/>
      <c r="LFI37" s="11"/>
      <c r="LFJ37" s="11"/>
      <c r="LFK37" s="11"/>
      <c r="LFL37" s="11"/>
      <c r="LFM37" s="11"/>
      <c r="LFN37" s="11"/>
      <c r="LFO37" s="11"/>
      <c r="LFP37" s="11"/>
      <c r="LFQ37" s="11"/>
      <c r="LFR37" s="11"/>
      <c r="LFS37" s="11"/>
      <c r="LFT37" s="11"/>
      <c r="LFU37" s="11"/>
      <c r="LFV37" s="11"/>
      <c r="LFW37" s="11"/>
      <c r="LFX37" s="11"/>
      <c r="LFY37" s="11"/>
      <c r="LFZ37" s="11"/>
      <c r="LGA37" s="11"/>
      <c r="LGB37" s="11"/>
      <c r="LGC37" s="11"/>
      <c r="LGD37" s="11"/>
      <c r="LGE37" s="11"/>
      <c r="LGF37" s="11"/>
      <c r="LGG37" s="11"/>
      <c r="LGH37" s="11"/>
      <c r="LGI37" s="11"/>
      <c r="LGJ37" s="11"/>
      <c r="LGK37" s="11"/>
      <c r="LGL37" s="11"/>
      <c r="LGM37" s="11"/>
      <c r="LGN37" s="11"/>
      <c r="LGO37" s="11"/>
      <c r="LGP37" s="11"/>
      <c r="LGQ37" s="11"/>
      <c r="LGR37" s="11"/>
      <c r="LGS37" s="11"/>
      <c r="LGT37" s="11"/>
      <c r="LGU37" s="11"/>
      <c r="LGV37" s="11"/>
      <c r="LGW37" s="11"/>
      <c r="LGX37" s="11"/>
      <c r="LGY37" s="11"/>
      <c r="LGZ37" s="11"/>
      <c r="LHA37" s="11"/>
      <c r="LHB37" s="11"/>
      <c r="LHC37" s="11"/>
      <c r="LHD37" s="11"/>
      <c r="LHE37" s="11"/>
      <c r="LHF37" s="11"/>
      <c r="LHG37" s="11"/>
      <c r="LHH37" s="11"/>
      <c r="LHI37" s="11"/>
      <c r="LHJ37" s="11"/>
      <c r="LHK37" s="11"/>
      <c r="LHL37" s="11"/>
      <c r="LHM37" s="11"/>
      <c r="LHN37" s="11"/>
      <c r="LHO37" s="11"/>
      <c r="LHP37" s="11"/>
      <c r="LHQ37" s="11"/>
      <c r="LHR37" s="11"/>
      <c r="LHS37" s="11"/>
      <c r="LHT37" s="11"/>
      <c r="LHU37" s="11"/>
      <c r="LHV37" s="11"/>
      <c r="LHW37" s="11"/>
      <c r="LHX37" s="11"/>
      <c r="LHY37" s="11"/>
      <c r="LHZ37" s="11"/>
      <c r="LIA37" s="11"/>
      <c r="LIB37" s="11"/>
      <c r="LIC37" s="11"/>
      <c r="LID37" s="11"/>
      <c r="LIE37" s="11"/>
      <c r="LIF37" s="11"/>
      <c r="LIG37" s="11"/>
      <c r="LIH37" s="11"/>
      <c r="LII37" s="11"/>
      <c r="LIJ37" s="11"/>
      <c r="LIK37" s="11"/>
      <c r="LIL37" s="11"/>
      <c r="LIM37" s="11"/>
      <c r="LIN37" s="11"/>
      <c r="LIO37" s="11"/>
      <c r="LIP37" s="11"/>
      <c r="LIQ37" s="11"/>
      <c r="LIR37" s="11"/>
      <c r="LIS37" s="11"/>
      <c r="LIT37" s="11"/>
      <c r="LIU37" s="11"/>
      <c r="LIV37" s="11"/>
      <c r="LIW37" s="11"/>
      <c r="LIX37" s="11"/>
      <c r="LIY37" s="11"/>
      <c r="LIZ37" s="11"/>
      <c r="LJA37" s="11"/>
      <c r="LJB37" s="11"/>
      <c r="LJC37" s="11"/>
      <c r="LJD37" s="11"/>
      <c r="LJE37" s="11"/>
      <c r="LJF37" s="11"/>
      <c r="LJG37" s="11"/>
      <c r="LJH37" s="11"/>
      <c r="LJI37" s="11"/>
      <c r="LJJ37" s="11"/>
      <c r="LJK37" s="11"/>
      <c r="LJL37" s="11"/>
      <c r="LJM37" s="11"/>
      <c r="LJN37" s="11"/>
      <c r="LJO37" s="11"/>
      <c r="LJP37" s="11"/>
      <c r="LJQ37" s="11"/>
      <c r="LJR37" s="11"/>
      <c r="LJS37" s="11"/>
      <c r="LJT37" s="11"/>
      <c r="LJU37" s="11"/>
      <c r="LJV37" s="11"/>
      <c r="LJW37" s="11"/>
      <c r="LJX37" s="11"/>
      <c r="LJY37" s="11"/>
      <c r="LJZ37" s="11"/>
      <c r="LKA37" s="11"/>
      <c r="LKB37" s="11"/>
      <c r="LKC37" s="11"/>
      <c r="LKD37" s="11"/>
      <c r="LKE37" s="11"/>
      <c r="LKF37" s="11"/>
      <c r="LKG37" s="11"/>
      <c r="LKH37" s="11"/>
      <c r="LKI37" s="11"/>
      <c r="LKJ37" s="11"/>
      <c r="LKK37" s="11"/>
      <c r="LKL37" s="11"/>
      <c r="LKM37" s="11"/>
      <c r="LKN37" s="11"/>
      <c r="LKO37" s="11"/>
      <c r="LKP37" s="11"/>
      <c r="LKQ37" s="11"/>
      <c r="LKR37" s="11"/>
      <c r="LKS37" s="11"/>
      <c r="LKT37" s="11"/>
      <c r="LKU37" s="11"/>
      <c r="LKV37" s="11"/>
      <c r="LKW37" s="11"/>
      <c r="LKX37" s="11"/>
      <c r="LKY37" s="11"/>
      <c r="LKZ37" s="11"/>
      <c r="LLA37" s="11"/>
      <c r="LLB37" s="11"/>
      <c r="LLC37" s="11"/>
      <c r="LLD37" s="11"/>
      <c r="LLE37" s="11"/>
      <c r="LLF37" s="11"/>
      <c r="LLG37" s="11"/>
      <c r="LLH37" s="11"/>
      <c r="LLI37" s="11"/>
      <c r="LLJ37" s="11"/>
      <c r="LLK37" s="11"/>
      <c r="LLL37" s="11"/>
      <c r="LLM37" s="11"/>
      <c r="LLN37" s="11"/>
      <c r="LLO37" s="11"/>
      <c r="LLP37" s="11"/>
      <c r="LLQ37" s="11"/>
      <c r="LLR37" s="11"/>
      <c r="LLS37" s="11"/>
      <c r="LLT37" s="11"/>
      <c r="LLU37" s="11"/>
      <c r="LLV37" s="11"/>
      <c r="LLW37" s="11"/>
      <c r="LLX37" s="11"/>
      <c r="LLY37" s="11"/>
      <c r="LLZ37" s="11"/>
      <c r="LMA37" s="11"/>
      <c r="LMB37" s="11"/>
      <c r="LMC37" s="11"/>
      <c r="LMD37" s="11"/>
      <c r="LME37" s="11"/>
      <c r="LMF37" s="11"/>
      <c r="LMG37" s="11"/>
      <c r="LMH37" s="11"/>
      <c r="LMI37" s="11"/>
      <c r="LMJ37" s="11"/>
      <c r="LMK37" s="11"/>
      <c r="LML37" s="11"/>
      <c r="LMM37" s="11"/>
      <c r="LMN37" s="11"/>
      <c r="LMO37" s="11"/>
      <c r="LMP37" s="11"/>
      <c r="LMQ37" s="11"/>
      <c r="LMR37" s="11"/>
      <c r="LMS37" s="11"/>
      <c r="LMT37" s="11"/>
      <c r="LMU37" s="11"/>
      <c r="LMV37" s="11"/>
      <c r="LMW37" s="11"/>
      <c r="LMX37" s="11"/>
      <c r="LMY37" s="11"/>
      <c r="LMZ37" s="11"/>
      <c r="LNA37" s="11"/>
      <c r="LNB37" s="11"/>
      <c r="LNC37" s="11"/>
      <c r="LND37" s="11"/>
      <c r="LNE37" s="11"/>
      <c r="LNF37" s="11"/>
      <c r="LNG37" s="11"/>
      <c r="LNH37" s="11"/>
      <c r="LNI37" s="11"/>
      <c r="LNJ37" s="11"/>
      <c r="LNK37" s="11"/>
      <c r="LNL37" s="11"/>
      <c r="LNM37" s="11"/>
      <c r="LNN37" s="11"/>
      <c r="LNO37" s="11"/>
      <c r="LNP37" s="11"/>
      <c r="LNQ37" s="11"/>
      <c r="LNR37" s="11"/>
      <c r="LNS37" s="11"/>
      <c r="LNT37" s="11"/>
      <c r="LNU37" s="11"/>
      <c r="LNV37" s="11"/>
      <c r="LNW37" s="11"/>
      <c r="LNX37" s="11"/>
      <c r="LNY37" s="11"/>
      <c r="LNZ37" s="11"/>
      <c r="LOA37" s="11"/>
      <c r="LOB37" s="11"/>
      <c r="LOC37" s="11"/>
      <c r="LOD37" s="11"/>
      <c r="LOE37" s="11"/>
      <c r="LOF37" s="11"/>
      <c r="LOG37" s="11"/>
      <c r="LOH37" s="11"/>
      <c r="LOI37" s="11"/>
      <c r="LOJ37" s="11"/>
      <c r="LOK37" s="11"/>
      <c r="LOL37" s="11"/>
      <c r="LOM37" s="11"/>
      <c r="LON37" s="11"/>
      <c r="LOO37" s="11"/>
      <c r="LOP37" s="11"/>
      <c r="LOQ37" s="11"/>
      <c r="LOR37" s="11"/>
      <c r="LOS37" s="11"/>
      <c r="LOT37" s="11"/>
      <c r="LOU37" s="11"/>
      <c r="LOV37" s="11"/>
      <c r="LOW37" s="11"/>
      <c r="LOX37" s="11"/>
      <c r="LOY37" s="11"/>
      <c r="LOZ37" s="11"/>
      <c r="LPA37" s="11"/>
      <c r="LPB37" s="11"/>
      <c r="LPC37" s="11"/>
      <c r="LPD37" s="11"/>
      <c r="LPE37" s="11"/>
      <c r="LPF37" s="11"/>
      <c r="LPG37" s="11"/>
      <c r="LPH37" s="11"/>
      <c r="LPI37" s="11"/>
      <c r="LPJ37" s="11"/>
      <c r="LPK37" s="11"/>
      <c r="LPL37" s="11"/>
      <c r="LPM37" s="11"/>
      <c r="LPN37" s="11"/>
      <c r="LPO37" s="11"/>
      <c r="LPP37" s="11"/>
      <c r="LPQ37" s="11"/>
      <c r="LPR37" s="11"/>
      <c r="LPS37" s="11"/>
      <c r="LPT37" s="11"/>
      <c r="LPU37" s="11"/>
      <c r="LPV37" s="11"/>
      <c r="LPW37" s="11"/>
      <c r="LPX37" s="11"/>
      <c r="LPY37" s="11"/>
      <c r="LPZ37" s="11"/>
      <c r="LQA37" s="11"/>
      <c r="LQB37" s="11"/>
      <c r="LQC37" s="11"/>
      <c r="LQD37" s="11"/>
      <c r="LQE37" s="11"/>
      <c r="LQF37" s="11"/>
      <c r="LQG37" s="11"/>
      <c r="LQH37" s="11"/>
      <c r="LQI37" s="11"/>
      <c r="LQJ37" s="11"/>
      <c r="LQK37" s="11"/>
      <c r="LQL37" s="11"/>
      <c r="LQM37" s="11"/>
      <c r="LQN37" s="11"/>
      <c r="LQO37" s="11"/>
      <c r="LQP37" s="11"/>
      <c r="LQQ37" s="11"/>
      <c r="LQR37" s="11"/>
      <c r="LQS37" s="11"/>
      <c r="LQT37" s="11"/>
      <c r="LQU37" s="11"/>
      <c r="LQV37" s="11"/>
      <c r="LQW37" s="11"/>
      <c r="LQX37" s="11"/>
      <c r="LQY37" s="11"/>
      <c r="LQZ37" s="11"/>
      <c r="LRA37" s="11"/>
      <c r="LRB37" s="11"/>
      <c r="LRC37" s="11"/>
      <c r="LRD37" s="11"/>
      <c r="LRE37" s="11"/>
      <c r="LRF37" s="11"/>
      <c r="LRG37" s="11"/>
      <c r="LRH37" s="11"/>
      <c r="LRI37" s="11"/>
      <c r="LRJ37" s="11"/>
      <c r="LRK37" s="11"/>
      <c r="LRL37" s="11"/>
      <c r="LRM37" s="11"/>
      <c r="LRN37" s="11"/>
      <c r="LRO37" s="11"/>
      <c r="LRP37" s="11"/>
      <c r="LRQ37" s="11"/>
      <c r="LRR37" s="11"/>
      <c r="LRS37" s="11"/>
      <c r="LRT37" s="11"/>
      <c r="LRU37" s="11"/>
      <c r="LRV37" s="11"/>
      <c r="LRW37" s="11"/>
      <c r="LRX37" s="11"/>
      <c r="LRY37" s="11"/>
      <c r="LRZ37" s="11"/>
      <c r="LSA37" s="11"/>
      <c r="LSB37" s="11"/>
      <c r="LSC37" s="11"/>
      <c r="LSD37" s="11"/>
      <c r="LSE37" s="11"/>
      <c r="LSF37" s="11"/>
      <c r="LSG37" s="11"/>
      <c r="LSH37" s="11"/>
      <c r="LSI37" s="11"/>
      <c r="LSJ37" s="11"/>
      <c r="LSK37" s="11"/>
      <c r="LSL37" s="11"/>
      <c r="LSM37" s="11"/>
      <c r="LSN37" s="11"/>
      <c r="LSO37" s="11"/>
      <c r="LSP37" s="11"/>
      <c r="LSQ37" s="11"/>
      <c r="LSR37" s="11"/>
      <c r="LSS37" s="11"/>
      <c r="LST37" s="11"/>
      <c r="LSU37" s="11"/>
      <c r="LSV37" s="11"/>
      <c r="LSW37" s="11"/>
      <c r="LSX37" s="11"/>
      <c r="LSY37" s="11"/>
      <c r="LSZ37" s="11"/>
      <c r="LTA37" s="11"/>
      <c r="LTB37" s="11"/>
      <c r="LTC37" s="11"/>
      <c r="LTD37" s="11"/>
      <c r="LTE37" s="11"/>
      <c r="LTF37" s="11"/>
      <c r="LTG37" s="11"/>
      <c r="LTH37" s="11"/>
      <c r="LTI37" s="11"/>
      <c r="LTJ37" s="11"/>
      <c r="LTK37" s="11"/>
      <c r="LTL37" s="11"/>
      <c r="LTM37" s="11"/>
      <c r="LTN37" s="11"/>
      <c r="LTO37" s="11"/>
      <c r="LTP37" s="11"/>
      <c r="LTQ37" s="11"/>
      <c r="LTR37" s="11"/>
      <c r="LTS37" s="11"/>
      <c r="LTT37" s="11"/>
      <c r="LTU37" s="11"/>
      <c r="LTV37" s="11"/>
      <c r="LTW37" s="11"/>
      <c r="LTX37" s="11"/>
      <c r="LTY37" s="11"/>
      <c r="LTZ37" s="11"/>
      <c r="LUA37" s="11"/>
      <c r="LUB37" s="11"/>
      <c r="LUC37" s="11"/>
      <c r="LUD37" s="11"/>
      <c r="LUE37" s="11"/>
      <c r="LUF37" s="11"/>
      <c r="LUG37" s="11"/>
      <c r="LUH37" s="11"/>
      <c r="LUI37" s="11"/>
      <c r="LUJ37" s="11"/>
      <c r="LUK37" s="11"/>
      <c r="LUL37" s="11"/>
      <c r="LUM37" s="11"/>
      <c r="LUN37" s="11"/>
      <c r="LUO37" s="11"/>
      <c r="LUP37" s="11"/>
      <c r="LUQ37" s="11"/>
      <c r="LUR37" s="11"/>
      <c r="LUS37" s="11"/>
      <c r="LUT37" s="11"/>
      <c r="LUU37" s="11"/>
      <c r="LUV37" s="11"/>
      <c r="LUW37" s="11"/>
      <c r="LUX37" s="11"/>
      <c r="LUY37" s="11"/>
      <c r="LUZ37" s="11"/>
      <c r="LVA37" s="11"/>
      <c r="LVB37" s="11"/>
      <c r="LVC37" s="11"/>
      <c r="LVD37" s="11"/>
      <c r="LVE37" s="11"/>
      <c r="LVF37" s="11"/>
      <c r="LVG37" s="11"/>
      <c r="LVH37" s="11"/>
      <c r="LVI37" s="11"/>
      <c r="LVJ37" s="11"/>
      <c r="LVK37" s="11"/>
      <c r="LVL37" s="11"/>
      <c r="LVM37" s="11"/>
      <c r="LVN37" s="11"/>
      <c r="LVO37" s="11"/>
      <c r="LVP37" s="11"/>
      <c r="LVQ37" s="11"/>
      <c r="LVR37" s="11"/>
      <c r="LVS37" s="11"/>
      <c r="LVT37" s="11"/>
      <c r="LVU37" s="11"/>
      <c r="LVV37" s="11"/>
      <c r="LVW37" s="11"/>
      <c r="LVX37" s="11"/>
      <c r="LVY37" s="11"/>
      <c r="LVZ37" s="11"/>
      <c r="LWA37" s="11"/>
      <c r="LWB37" s="11"/>
      <c r="LWC37" s="11"/>
      <c r="LWD37" s="11"/>
      <c r="LWE37" s="11"/>
      <c r="LWF37" s="11"/>
      <c r="LWG37" s="11"/>
      <c r="LWH37" s="11"/>
      <c r="LWI37" s="11"/>
      <c r="LWJ37" s="11"/>
      <c r="LWK37" s="11"/>
      <c r="LWL37" s="11"/>
      <c r="LWM37" s="11"/>
      <c r="LWN37" s="11"/>
      <c r="LWO37" s="11"/>
      <c r="LWP37" s="11"/>
      <c r="LWQ37" s="11"/>
      <c r="LWR37" s="11"/>
      <c r="LWS37" s="11"/>
      <c r="LWT37" s="11"/>
      <c r="LWU37" s="11"/>
      <c r="LWV37" s="11"/>
      <c r="LWW37" s="11"/>
      <c r="LWX37" s="11"/>
      <c r="LWY37" s="11"/>
      <c r="LWZ37" s="11"/>
      <c r="LXA37" s="11"/>
      <c r="LXB37" s="11"/>
      <c r="LXC37" s="11"/>
      <c r="LXD37" s="11"/>
      <c r="LXE37" s="11"/>
      <c r="LXF37" s="11"/>
      <c r="LXG37" s="11"/>
      <c r="LXH37" s="11"/>
      <c r="LXI37" s="11"/>
      <c r="LXJ37" s="11"/>
      <c r="LXK37" s="11"/>
      <c r="LXL37" s="11"/>
      <c r="LXM37" s="11"/>
      <c r="LXN37" s="11"/>
      <c r="LXO37" s="11"/>
      <c r="LXP37" s="11"/>
      <c r="LXQ37" s="11"/>
      <c r="LXR37" s="11"/>
      <c r="LXS37" s="11"/>
      <c r="LXT37" s="11"/>
      <c r="LXU37" s="11"/>
      <c r="LXV37" s="11"/>
      <c r="LXW37" s="11"/>
      <c r="LXX37" s="11"/>
      <c r="LXY37" s="11"/>
      <c r="LXZ37" s="11"/>
      <c r="LYA37" s="11"/>
      <c r="LYB37" s="11"/>
      <c r="LYC37" s="11"/>
      <c r="LYD37" s="11"/>
      <c r="LYE37" s="11"/>
      <c r="LYF37" s="11"/>
      <c r="LYG37" s="11"/>
      <c r="LYH37" s="11"/>
      <c r="LYI37" s="11"/>
      <c r="LYJ37" s="11"/>
      <c r="LYK37" s="11"/>
      <c r="LYL37" s="11"/>
      <c r="LYM37" s="11"/>
      <c r="LYN37" s="11"/>
      <c r="LYO37" s="11"/>
      <c r="LYP37" s="11"/>
      <c r="LYQ37" s="11"/>
      <c r="LYR37" s="11"/>
      <c r="LYS37" s="11"/>
      <c r="LYT37" s="11"/>
      <c r="LYU37" s="11"/>
      <c r="LYV37" s="11"/>
      <c r="LYW37" s="11"/>
      <c r="LYX37" s="11"/>
      <c r="LYY37" s="11"/>
      <c r="LYZ37" s="11"/>
      <c r="LZA37" s="11"/>
      <c r="LZB37" s="11"/>
      <c r="LZC37" s="11"/>
      <c r="LZD37" s="11"/>
      <c r="LZE37" s="11"/>
      <c r="LZF37" s="11"/>
      <c r="LZG37" s="11"/>
      <c r="LZH37" s="11"/>
      <c r="LZI37" s="11"/>
      <c r="LZJ37" s="11"/>
      <c r="LZK37" s="11"/>
      <c r="LZL37" s="11"/>
      <c r="LZM37" s="11"/>
      <c r="LZN37" s="11"/>
      <c r="LZO37" s="11"/>
      <c r="LZP37" s="11"/>
      <c r="LZQ37" s="11"/>
      <c r="LZR37" s="11"/>
      <c r="LZS37" s="11"/>
      <c r="LZT37" s="11"/>
      <c r="LZU37" s="11"/>
      <c r="LZV37" s="11"/>
      <c r="LZW37" s="11"/>
      <c r="LZX37" s="11"/>
      <c r="LZY37" s="11"/>
      <c r="LZZ37" s="11"/>
      <c r="MAA37" s="11"/>
      <c r="MAB37" s="11"/>
      <c r="MAC37" s="11"/>
      <c r="MAD37" s="11"/>
      <c r="MAE37" s="11"/>
      <c r="MAF37" s="11"/>
      <c r="MAG37" s="11"/>
      <c r="MAH37" s="11"/>
      <c r="MAI37" s="11"/>
      <c r="MAJ37" s="11"/>
      <c r="MAK37" s="11"/>
      <c r="MAL37" s="11"/>
      <c r="MAM37" s="11"/>
      <c r="MAN37" s="11"/>
      <c r="MAO37" s="11"/>
      <c r="MAP37" s="11"/>
      <c r="MAQ37" s="11"/>
      <c r="MAR37" s="11"/>
      <c r="MAS37" s="11"/>
      <c r="MAT37" s="11"/>
      <c r="MAU37" s="11"/>
      <c r="MAV37" s="11"/>
      <c r="MAW37" s="11"/>
      <c r="MAX37" s="11"/>
      <c r="MAY37" s="11"/>
      <c r="MAZ37" s="11"/>
      <c r="MBA37" s="11"/>
      <c r="MBB37" s="11"/>
      <c r="MBC37" s="11"/>
      <c r="MBD37" s="11"/>
      <c r="MBE37" s="11"/>
      <c r="MBF37" s="11"/>
      <c r="MBG37" s="11"/>
      <c r="MBH37" s="11"/>
      <c r="MBI37" s="11"/>
      <c r="MBJ37" s="11"/>
      <c r="MBK37" s="11"/>
      <c r="MBL37" s="11"/>
      <c r="MBM37" s="11"/>
      <c r="MBN37" s="11"/>
      <c r="MBO37" s="11"/>
      <c r="MBP37" s="11"/>
      <c r="MBQ37" s="11"/>
      <c r="MBR37" s="11"/>
      <c r="MBS37" s="11"/>
      <c r="MBT37" s="11"/>
      <c r="MBU37" s="11"/>
      <c r="MBV37" s="11"/>
      <c r="MBW37" s="11"/>
      <c r="MBX37" s="11"/>
      <c r="MBY37" s="11"/>
      <c r="MBZ37" s="11"/>
      <c r="MCA37" s="11"/>
      <c r="MCB37" s="11"/>
      <c r="MCC37" s="11"/>
      <c r="MCD37" s="11"/>
      <c r="MCE37" s="11"/>
      <c r="MCF37" s="11"/>
      <c r="MCG37" s="11"/>
      <c r="MCH37" s="11"/>
      <c r="MCI37" s="11"/>
      <c r="MCJ37" s="11"/>
      <c r="MCK37" s="11"/>
      <c r="MCL37" s="11"/>
      <c r="MCM37" s="11"/>
      <c r="MCN37" s="11"/>
      <c r="MCO37" s="11"/>
      <c r="MCP37" s="11"/>
      <c r="MCQ37" s="11"/>
      <c r="MCR37" s="11"/>
      <c r="MCS37" s="11"/>
      <c r="MCT37" s="11"/>
      <c r="MCU37" s="11"/>
      <c r="MCV37" s="11"/>
      <c r="MCW37" s="11"/>
      <c r="MCX37" s="11"/>
      <c r="MCY37" s="11"/>
      <c r="MCZ37" s="11"/>
      <c r="MDA37" s="11"/>
      <c r="MDB37" s="11"/>
      <c r="MDC37" s="11"/>
      <c r="MDD37" s="11"/>
      <c r="MDE37" s="11"/>
      <c r="MDF37" s="11"/>
      <c r="MDG37" s="11"/>
      <c r="MDH37" s="11"/>
      <c r="MDI37" s="11"/>
      <c r="MDJ37" s="11"/>
      <c r="MDK37" s="11"/>
      <c r="MDL37" s="11"/>
      <c r="MDM37" s="11"/>
      <c r="MDN37" s="11"/>
      <c r="MDO37" s="11"/>
      <c r="MDP37" s="11"/>
      <c r="MDQ37" s="11"/>
      <c r="MDR37" s="11"/>
      <c r="MDS37" s="11"/>
      <c r="MDT37" s="11"/>
      <c r="MDU37" s="11"/>
      <c r="MDV37" s="11"/>
      <c r="MDW37" s="11"/>
      <c r="MDX37" s="11"/>
      <c r="MDY37" s="11"/>
      <c r="MDZ37" s="11"/>
      <c r="MEA37" s="11"/>
      <c r="MEB37" s="11"/>
      <c r="MEC37" s="11"/>
      <c r="MED37" s="11"/>
      <c r="MEE37" s="11"/>
      <c r="MEF37" s="11"/>
      <c r="MEG37" s="11"/>
      <c r="MEH37" s="11"/>
      <c r="MEI37" s="11"/>
      <c r="MEJ37" s="11"/>
      <c r="MEK37" s="11"/>
      <c r="MEL37" s="11"/>
      <c r="MEM37" s="11"/>
      <c r="MEN37" s="11"/>
      <c r="MEO37" s="11"/>
      <c r="MEP37" s="11"/>
      <c r="MEQ37" s="11"/>
      <c r="MER37" s="11"/>
      <c r="MES37" s="11"/>
      <c r="MET37" s="11"/>
      <c r="MEU37" s="11"/>
      <c r="MEV37" s="11"/>
      <c r="MEW37" s="11"/>
      <c r="MEX37" s="11"/>
      <c r="MEY37" s="11"/>
      <c r="MEZ37" s="11"/>
      <c r="MFA37" s="11"/>
      <c r="MFB37" s="11"/>
      <c r="MFC37" s="11"/>
      <c r="MFD37" s="11"/>
      <c r="MFE37" s="11"/>
      <c r="MFF37" s="11"/>
      <c r="MFG37" s="11"/>
      <c r="MFH37" s="11"/>
      <c r="MFI37" s="11"/>
      <c r="MFJ37" s="11"/>
      <c r="MFK37" s="11"/>
      <c r="MFL37" s="11"/>
      <c r="MFM37" s="11"/>
      <c r="MFN37" s="11"/>
      <c r="MFO37" s="11"/>
      <c r="MFP37" s="11"/>
      <c r="MFQ37" s="11"/>
      <c r="MFR37" s="11"/>
      <c r="MFS37" s="11"/>
      <c r="MFT37" s="11"/>
      <c r="MFU37" s="11"/>
      <c r="MFV37" s="11"/>
      <c r="MFW37" s="11"/>
      <c r="MFX37" s="11"/>
      <c r="MFY37" s="11"/>
      <c r="MFZ37" s="11"/>
      <c r="MGA37" s="11"/>
      <c r="MGB37" s="11"/>
      <c r="MGC37" s="11"/>
      <c r="MGD37" s="11"/>
      <c r="MGE37" s="11"/>
      <c r="MGF37" s="11"/>
      <c r="MGG37" s="11"/>
      <c r="MGH37" s="11"/>
      <c r="MGI37" s="11"/>
      <c r="MGJ37" s="11"/>
      <c r="MGK37" s="11"/>
      <c r="MGL37" s="11"/>
      <c r="MGM37" s="11"/>
      <c r="MGN37" s="11"/>
      <c r="MGO37" s="11"/>
      <c r="MGP37" s="11"/>
      <c r="MGQ37" s="11"/>
      <c r="MGR37" s="11"/>
      <c r="MGS37" s="11"/>
      <c r="MGT37" s="11"/>
      <c r="MGU37" s="11"/>
      <c r="MGV37" s="11"/>
      <c r="MGW37" s="11"/>
      <c r="MGX37" s="11"/>
      <c r="MGY37" s="11"/>
      <c r="MGZ37" s="11"/>
      <c r="MHA37" s="11"/>
      <c r="MHB37" s="11"/>
      <c r="MHC37" s="11"/>
      <c r="MHD37" s="11"/>
      <c r="MHE37" s="11"/>
      <c r="MHF37" s="11"/>
      <c r="MHG37" s="11"/>
      <c r="MHH37" s="11"/>
      <c r="MHI37" s="11"/>
      <c r="MHJ37" s="11"/>
      <c r="MHK37" s="11"/>
      <c r="MHL37" s="11"/>
      <c r="MHM37" s="11"/>
      <c r="MHN37" s="11"/>
      <c r="MHO37" s="11"/>
      <c r="MHP37" s="11"/>
      <c r="MHQ37" s="11"/>
      <c r="MHR37" s="11"/>
      <c r="MHS37" s="11"/>
      <c r="MHT37" s="11"/>
      <c r="MHU37" s="11"/>
      <c r="MHV37" s="11"/>
      <c r="MHW37" s="11"/>
      <c r="MHX37" s="11"/>
      <c r="MHY37" s="11"/>
      <c r="MHZ37" s="11"/>
      <c r="MIA37" s="11"/>
      <c r="MIB37" s="11"/>
      <c r="MIC37" s="11"/>
      <c r="MID37" s="11"/>
      <c r="MIE37" s="11"/>
      <c r="MIF37" s="11"/>
      <c r="MIG37" s="11"/>
      <c r="MIH37" s="11"/>
      <c r="MII37" s="11"/>
      <c r="MIJ37" s="11"/>
      <c r="MIK37" s="11"/>
      <c r="MIL37" s="11"/>
      <c r="MIM37" s="11"/>
      <c r="MIN37" s="11"/>
      <c r="MIO37" s="11"/>
      <c r="MIP37" s="11"/>
      <c r="MIQ37" s="11"/>
      <c r="MIR37" s="11"/>
      <c r="MIS37" s="11"/>
      <c r="MIT37" s="11"/>
      <c r="MIU37" s="11"/>
      <c r="MIV37" s="11"/>
      <c r="MIW37" s="11"/>
      <c r="MIX37" s="11"/>
      <c r="MIY37" s="11"/>
      <c r="MIZ37" s="11"/>
      <c r="MJA37" s="11"/>
      <c r="MJB37" s="11"/>
      <c r="MJC37" s="11"/>
      <c r="MJD37" s="11"/>
      <c r="MJE37" s="11"/>
      <c r="MJF37" s="11"/>
      <c r="MJG37" s="11"/>
      <c r="MJH37" s="11"/>
      <c r="MJI37" s="11"/>
      <c r="MJJ37" s="11"/>
      <c r="MJK37" s="11"/>
      <c r="MJL37" s="11"/>
      <c r="MJM37" s="11"/>
      <c r="MJN37" s="11"/>
      <c r="MJO37" s="11"/>
      <c r="MJP37" s="11"/>
      <c r="MJQ37" s="11"/>
      <c r="MJR37" s="11"/>
      <c r="MJS37" s="11"/>
      <c r="MJT37" s="11"/>
      <c r="MJU37" s="11"/>
      <c r="MJV37" s="11"/>
      <c r="MJW37" s="11"/>
      <c r="MJX37" s="11"/>
      <c r="MJY37" s="11"/>
      <c r="MJZ37" s="11"/>
      <c r="MKA37" s="11"/>
      <c r="MKB37" s="11"/>
      <c r="MKC37" s="11"/>
      <c r="MKD37" s="11"/>
      <c r="MKE37" s="11"/>
      <c r="MKF37" s="11"/>
      <c r="MKG37" s="11"/>
      <c r="MKH37" s="11"/>
      <c r="MKI37" s="11"/>
      <c r="MKJ37" s="11"/>
      <c r="MKK37" s="11"/>
      <c r="MKL37" s="11"/>
      <c r="MKM37" s="11"/>
      <c r="MKN37" s="11"/>
      <c r="MKO37" s="11"/>
      <c r="MKP37" s="11"/>
      <c r="MKQ37" s="11"/>
      <c r="MKR37" s="11"/>
      <c r="MKS37" s="11"/>
      <c r="MKT37" s="11"/>
      <c r="MKU37" s="11"/>
      <c r="MKV37" s="11"/>
      <c r="MKW37" s="11"/>
      <c r="MKX37" s="11"/>
      <c r="MKY37" s="11"/>
      <c r="MKZ37" s="11"/>
      <c r="MLA37" s="11"/>
      <c r="MLB37" s="11"/>
      <c r="MLC37" s="11"/>
      <c r="MLD37" s="11"/>
      <c r="MLE37" s="11"/>
      <c r="MLF37" s="11"/>
      <c r="MLG37" s="11"/>
      <c r="MLH37" s="11"/>
      <c r="MLI37" s="11"/>
      <c r="MLJ37" s="11"/>
      <c r="MLK37" s="11"/>
      <c r="MLL37" s="11"/>
      <c r="MLM37" s="11"/>
      <c r="MLN37" s="11"/>
      <c r="MLO37" s="11"/>
      <c r="MLP37" s="11"/>
      <c r="MLQ37" s="11"/>
      <c r="MLR37" s="11"/>
      <c r="MLS37" s="11"/>
      <c r="MLT37" s="11"/>
      <c r="MLU37" s="11"/>
      <c r="MLV37" s="11"/>
      <c r="MLW37" s="11"/>
      <c r="MLX37" s="11"/>
      <c r="MLY37" s="11"/>
      <c r="MLZ37" s="11"/>
      <c r="MMA37" s="11"/>
      <c r="MMB37" s="11"/>
      <c r="MMC37" s="11"/>
      <c r="MMD37" s="11"/>
      <c r="MME37" s="11"/>
      <c r="MMF37" s="11"/>
      <c r="MMG37" s="11"/>
      <c r="MMH37" s="11"/>
      <c r="MMI37" s="11"/>
      <c r="MMJ37" s="11"/>
      <c r="MMK37" s="11"/>
      <c r="MML37" s="11"/>
      <c r="MMM37" s="11"/>
      <c r="MMN37" s="11"/>
      <c r="MMO37" s="11"/>
      <c r="MMP37" s="11"/>
      <c r="MMQ37" s="11"/>
      <c r="MMR37" s="11"/>
      <c r="MMS37" s="11"/>
      <c r="MMT37" s="11"/>
      <c r="MMU37" s="11"/>
      <c r="MMV37" s="11"/>
      <c r="MMW37" s="11"/>
      <c r="MMX37" s="11"/>
      <c r="MMY37" s="11"/>
      <c r="MMZ37" s="11"/>
      <c r="MNA37" s="11"/>
      <c r="MNB37" s="11"/>
      <c r="MNC37" s="11"/>
      <c r="MND37" s="11"/>
      <c r="MNE37" s="11"/>
      <c r="MNF37" s="11"/>
      <c r="MNG37" s="11"/>
      <c r="MNH37" s="11"/>
      <c r="MNI37" s="11"/>
      <c r="MNJ37" s="11"/>
      <c r="MNK37" s="11"/>
      <c r="MNL37" s="11"/>
      <c r="MNM37" s="11"/>
      <c r="MNN37" s="11"/>
      <c r="MNO37" s="11"/>
      <c r="MNP37" s="11"/>
      <c r="MNQ37" s="11"/>
      <c r="MNR37" s="11"/>
      <c r="MNS37" s="11"/>
      <c r="MNT37" s="11"/>
      <c r="MNU37" s="11"/>
      <c r="MNV37" s="11"/>
      <c r="MNW37" s="11"/>
      <c r="MNX37" s="11"/>
      <c r="MNY37" s="11"/>
      <c r="MNZ37" s="11"/>
      <c r="MOA37" s="11"/>
      <c r="MOB37" s="11"/>
      <c r="MOC37" s="11"/>
      <c r="MOD37" s="11"/>
      <c r="MOE37" s="11"/>
      <c r="MOF37" s="11"/>
      <c r="MOG37" s="11"/>
      <c r="MOH37" s="11"/>
      <c r="MOI37" s="11"/>
      <c r="MOJ37" s="11"/>
      <c r="MOK37" s="11"/>
      <c r="MOL37" s="11"/>
      <c r="MOM37" s="11"/>
      <c r="MON37" s="11"/>
      <c r="MOO37" s="11"/>
      <c r="MOP37" s="11"/>
      <c r="MOQ37" s="11"/>
      <c r="MOR37" s="11"/>
      <c r="MOS37" s="11"/>
      <c r="MOT37" s="11"/>
      <c r="MOU37" s="11"/>
      <c r="MOV37" s="11"/>
      <c r="MOW37" s="11"/>
      <c r="MOX37" s="11"/>
      <c r="MOY37" s="11"/>
      <c r="MOZ37" s="11"/>
      <c r="MPA37" s="11"/>
      <c r="MPB37" s="11"/>
      <c r="MPC37" s="11"/>
      <c r="MPD37" s="11"/>
      <c r="MPE37" s="11"/>
      <c r="MPF37" s="11"/>
      <c r="MPG37" s="11"/>
      <c r="MPH37" s="11"/>
      <c r="MPI37" s="11"/>
      <c r="MPJ37" s="11"/>
      <c r="MPK37" s="11"/>
      <c r="MPL37" s="11"/>
      <c r="MPM37" s="11"/>
      <c r="MPN37" s="11"/>
      <c r="MPO37" s="11"/>
      <c r="MPP37" s="11"/>
      <c r="MPQ37" s="11"/>
      <c r="MPR37" s="11"/>
      <c r="MPS37" s="11"/>
      <c r="MPT37" s="11"/>
      <c r="MPU37" s="11"/>
      <c r="MPV37" s="11"/>
      <c r="MPW37" s="11"/>
      <c r="MPX37" s="11"/>
      <c r="MPY37" s="11"/>
      <c r="MPZ37" s="11"/>
      <c r="MQA37" s="11"/>
      <c r="MQB37" s="11"/>
      <c r="MQC37" s="11"/>
      <c r="MQD37" s="11"/>
      <c r="MQE37" s="11"/>
      <c r="MQF37" s="11"/>
      <c r="MQG37" s="11"/>
      <c r="MQH37" s="11"/>
      <c r="MQI37" s="11"/>
      <c r="MQJ37" s="11"/>
      <c r="MQK37" s="11"/>
      <c r="MQL37" s="11"/>
      <c r="MQM37" s="11"/>
      <c r="MQN37" s="11"/>
      <c r="MQO37" s="11"/>
      <c r="MQP37" s="11"/>
      <c r="MQQ37" s="11"/>
      <c r="MQR37" s="11"/>
      <c r="MQS37" s="11"/>
      <c r="MQT37" s="11"/>
      <c r="MQU37" s="11"/>
      <c r="MQV37" s="11"/>
      <c r="MQW37" s="11"/>
      <c r="MQX37" s="11"/>
      <c r="MQY37" s="11"/>
      <c r="MQZ37" s="11"/>
      <c r="MRA37" s="11"/>
      <c r="MRB37" s="11"/>
      <c r="MRC37" s="11"/>
      <c r="MRD37" s="11"/>
      <c r="MRE37" s="11"/>
      <c r="MRF37" s="11"/>
      <c r="MRG37" s="11"/>
      <c r="MRH37" s="11"/>
      <c r="MRI37" s="11"/>
      <c r="MRJ37" s="11"/>
      <c r="MRK37" s="11"/>
      <c r="MRL37" s="11"/>
      <c r="MRM37" s="11"/>
      <c r="MRN37" s="11"/>
      <c r="MRO37" s="11"/>
      <c r="MRP37" s="11"/>
      <c r="MRQ37" s="11"/>
      <c r="MRR37" s="11"/>
      <c r="MRS37" s="11"/>
      <c r="MRT37" s="11"/>
      <c r="MRU37" s="11"/>
      <c r="MRV37" s="11"/>
      <c r="MRW37" s="11"/>
      <c r="MRX37" s="11"/>
      <c r="MRY37" s="11"/>
      <c r="MRZ37" s="11"/>
      <c r="MSA37" s="11"/>
      <c r="MSB37" s="11"/>
      <c r="MSC37" s="11"/>
      <c r="MSD37" s="11"/>
      <c r="MSE37" s="11"/>
      <c r="MSF37" s="11"/>
      <c r="MSG37" s="11"/>
      <c r="MSH37" s="11"/>
      <c r="MSI37" s="11"/>
      <c r="MSJ37" s="11"/>
      <c r="MSK37" s="11"/>
      <c r="MSL37" s="11"/>
      <c r="MSM37" s="11"/>
      <c r="MSN37" s="11"/>
      <c r="MSO37" s="11"/>
      <c r="MSP37" s="11"/>
      <c r="MSQ37" s="11"/>
      <c r="MSR37" s="11"/>
      <c r="MSS37" s="11"/>
      <c r="MST37" s="11"/>
      <c r="MSU37" s="11"/>
      <c r="MSV37" s="11"/>
      <c r="MSW37" s="11"/>
      <c r="MSX37" s="11"/>
      <c r="MSY37" s="11"/>
      <c r="MSZ37" s="11"/>
      <c r="MTA37" s="11"/>
      <c r="MTB37" s="11"/>
      <c r="MTC37" s="11"/>
      <c r="MTD37" s="11"/>
      <c r="MTE37" s="11"/>
      <c r="MTF37" s="11"/>
      <c r="MTG37" s="11"/>
      <c r="MTH37" s="11"/>
      <c r="MTI37" s="11"/>
      <c r="MTJ37" s="11"/>
      <c r="MTK37" s="11"/>
      <c r="MTL37" s="11"/>
      <c r="MTM37" s="11"/>
      <c r="MTN37" s="11"/>
      <c r="MTO37" s="11"/>
      <c r="MTP37" s="11"/>
      <c r="MTQ37" s="11"/>
      <c r="MTR37" s="11"/>
      <c r="MTS37" s="11"/>
      <c r="MTT37" s="11"/>
      <c r="MTU37" s="11"/>
      <c r="MTV37" s="11"/>
      <c r="MTW37" s="11"/>
      <c r="MTX37" s="11"/>
      <c r="MTY37" s="11"/>
      <c r="MTZ37" s="11"/>
      <c r="MUA37" s="11"/>
      <c r="MUB37" s="11"/>
      <c r="MUC37" s="11"/>
      <c r="MUD37" s="11"/>
      <c r="MUE37" s="11"/>
      <c r="MUF37" s="11"/>
      <c r="MUG37" s="11"/>
      <c r="MUH37" s="11"/>
      <c r="MUI37" s="11"/>
      <c r="MUJ37" s="11"/>
      <c r="MUK37" s="11"/>
      <c r="MUL37" s="11"/>
      <c r="MUM37" s="11"/>
      <c r="MUN37" s="11"/>
      <c r="MUO37" s="11"/>
      <c r="MUP37" s="11"/>
      <c r="MUQ37" s="11"/>
      <c r="MUR37" s="11"/>
      <c r="MUS37" s="11"/>
      <c r="MUT37" s="11"/>
      <c r="MUU37" s="11"/>
      <c r="MUV37" s="11"/>
      <c r="MUW37" s="11"/>
      <c r="MUX37" s="11"/>
      <c r="MUY37" s="11"/>
      <c r="MUZ37" s="11"/>
      <c r="MVA37" s="11"/>
      <c r="MVB37" s="11"/>
      <c r="MVC37" s="11"/>
      <c r="MVD37" s="11"/>
      <c r="MVE37" s="11"/>
      <c r="MVF37" s="11"/>
      <c r="MVG37" s="11"/>
      <c r="MVH37" s="11"/>
      <c r="MVI37" s="11"/>
      <c r="MVJ37" s="11"/>
      <c r="MVK37" s="11"/>
      <c r="MVL37" s="11"/>
      <c r="MVM37" s="11"/>
      <c r="MVN37" s="11"/>
      <c r="MVO37" s="11"/>
      <c r="MVP37" s="11"/>
      <c r="MVQ37" s="11"/>
      <c r="MVR37" s="11"/>
      <c r="MVS37" s="11"/>
      <c r="MVT37" s="11"/>
      <c r="MVU37" s="11"/>
      <c r="MVV37" s="11"/>
      <c r="MVW37" s="11"/>
      <c r="MVX37" s="11"/>
      <c r="MVY37" s="11"/>
      <c r="MVZ37" s="11"/>
      <c r="MWA37" s="11"/>
      <c r="MWB37" s="11"/>
      <c r="MWC37" s="11"/>
      <c r="MWD37" s="11"/>
      <c r="MWE37" s="11"/>
      <c r="MWF37" s="11"/>
      <c r="MWG37" s="11"/>
      <c r="MWH37" s="11"/>
      <c r="MWI37" s="11"/>
      <c r="MWJ37" s="11"/>
      <c r="MWK37" s="11"/>
      <c r="MWL37" s="11"/>
      <c r="MWM37" s="11"/>
      <c r="MWN37" s="11"/>
      <c r="MWO37" s="11"/>
      <c r="MWP37" s="11"/>
      <c r="MWQ37" s="11"/>
      <c r="MWR37" s="11"/>
      <c r="MWS37" s="11"/>
      <c r="MWT37" s="11"/>
      <c r="MWU37" s="11"/>
      <c r="MWV37" s="11"/>
      <c r="MWW37" s="11"/>
      <c r="MWX37" s="11"/>
      <c r="MWY37" s="11"/>
      <c r="MWZ37" s="11"/>
      <c r="MXA37" s="11"/>
      <c r="MXB37" s="11"/>
      <c r="MXC37" s="11"/>
      <c r="MXD37" s="11"/>
      <c r="MXE37" s="11"/>
      <c r="MXF37" s="11"/>
      <c r="MXG37" s="11"/>
      <c r="MXH37" s="11"/>
      <c r="MXI37" s="11"/>
      <c r="MXJ37" s="11"/>
      <c r="MXK37" s="11"/>
      <c r="MXL37" s="11"/>
      <c r="MXM37" s="11"/>
      <c r="MXN37" s="11"/>
      <c r="MXO37" s="11"/>
      <c r="MXP37" s="11"/>
      <c r="MXQ37" s="11"/>
      <c r="MXR37" s="11"/>
      <c r="MXS37" s="11"/>
      <c r="MXT37" s="11"/>
      <c r="MXU37" s="11"/>
      <c r="MXV37" s="11"/>
      <c r="MXW37" s="11"/>
      <c r="MXX37" s="11"/>
      <c r="MXY37" s="11"/>
      <c r="MXZ37" s="11"/>
      <c r="MYA37" s="11"/>
      <c r="MYB37" s="11"/>
      <c r="MYC37" s="11"/>
      <c r="MYD37" s="11"/>
      <c r="MYE37" s="11"/>
      <c r="MYF37" s="11"/>
      <c r="MYG37" s="11"/>
      <c r="MYH37" s="11"/>
      <c r="MYI37" s="11"/>
      <c r="MYJ37" s="11"/>
      <c r="MYK37" s="11"/>
      <c r="MYL37" s="11"/>
      <c r="MYM37" s="11"/>
      <c r="MYN37" s="11"/>
      <c r="MYO37" s="11"/>
      <c r="MYP37" s="11"/>
      <c r="MYQ37" s="11"/>
      <c r="MYR37" s="11"/>
      <c r="MYS37" s="11"/>
      <c r="MYT37" s="11"/>
      <c r="MYU37" s="11"/>
      <c r="MYV37" s="11"/>
      <c r="MYW37" s="11"/>
      <c r="MYX37" s="11"/>
      <c r="MYY37" s="11"/>
      <c r="MYZ37" s="11"/>
      <c r="MZA37" s="11"/>
      <c r="MZB37" s="11"/>
      <c r="MZC37" s="11"/>
      <c r="MZD37" s="11"/>
      <c r="MZE37" s="11"/>
      <c r="MZF37" s="11"/>
      <c r="MZG37" s="11"/>
      <c r="MZH37" s="11"/>
      <c r="MZI37" s="11"/>
      <c r="MZJ37" s="11"/>
      <c r="MZK37" s="11"/>
      <c r="MZL37" s="11"/>
      <c r="MZM37" s="11"/>
      <c r="MZN37" s="11"/>
      <c r="MZO37" s="11"/>
      <c r="MZP37" s="11"/>
      <c r="MZQ37" s="11"/>
      <c r="MZR37" s="11"/>
      <c r="MZS37" s="11"/>
      <c r="MZT37" s="11"/>
      <c r="MZU37" s="11"/>
      <c r="MZV37" s="11"/>
      <c r="MZW37" s="11"/>
      <c r="MZX37" s="11"/>
      <c r="MZY37" s="11"/>
      <c r="MZZ37" s="11"/>
      <c r="NAA37" s="11"/>
      <c r="NAB37" s="11"/>
      <c r="NAC37" s="11"/>
      <c r="NAD37" s="11"/>
      <c r="NAE37" s="11"/>
      <c r="NAF37" s="11"/>
      <c r="NAG37" s="11"/>
      <c r="NAH37" s="11"/>
      <c r="NAI37" s="11"/>
      <c r="NAJ37" s="11"/>
      <c r="NAK37" s="11"/>
      <c r="NAL37" s="11"/>
      <c r="NAM37" s="11"/>
      <c r="NAN37" s="11"/>
      <c r="NAO37" s="11"/>
      <c r="NAP37" s="11"/>
      <c r="NAQ37" s="11"/>
      <c r="NAR37" s="11"/>
      <c r="NAS37" s="11"/>
      <c r="NAT37" s="11"/>
      <c r="NAU37" s="11"/>
      <c r="NAV37" s="11"/>
      <c r="NAW37" s="11"/>
      <c r="NAX37" s="11"/>
      <c r="NAY37" s="11"/>
      <c r="NAZ37" s="11"/>
      <c r="NBA37" s="11"/>
      <c r="NBB37" s="11"/>
      <c r="NBC37" s="11"/>
      <c r="NBD37" s="11"/>
      <c r="NBE37" s="11"/>
      <c r="NBF37" s="11"/>
      <c r="NBG37" s="11"/>
      <c r="NBH37" s="11"/>
      <c r="NBI37" s="11"/>
      <c r="NBJ37" s="11"/>
      <c r="NBK37" s="11"/>
      <c r="NBL37" s="11"/>
      <c r="NBM37" s="11"/>
      <c r="NBN37" s="11"/>
      <c r="NBO37" s="11"/>
      <c r="NBP37" s="11"/>
      <c r="NBQ37" s="11"/>
      <c r="NBR37" s="11"/>
      <c r="NBS37" s="11"/>
      <c r="NBT37" s="11"/>
      <c r="NBU37" s="11"/>
      <c r="NBV37" s="11"/>
      <c r="NBW37" s="11"/>
      <c r="NBX37" s="11"/>
      <c r="NBY37" s="11"/>
      <c r="NBZ37" s="11"/>
      <c r="NCA37" s="11"/>
      <c r="NCB37" s="11"/>
      <c r="NCC37" s="11"/>
      <c r="NCD37" s="11"/>
      <c r="NCE37" s="11"/>
      <c r="NCF37" s="11"/>
      <c r="NCG37" s="11"/>
      <c r="NCH37" s="11"/>
      <c r="NCI37" s="11"/>
      <c r="NCJ37" s="11"/>
      <c r="NCK37" s="11"/>
      <c r="NCL37" s="11"/>
      <c r="NCM37" s="11"/>
      <c r="NCN37" s="11"/>
      <c r="NCO37" s="11"/>
      <c r="NCP37" s="11"/>
      <c r="NCQ37" s="11"/>
      <c r="NCR37" s="11"/>
      <c r="NCS37" s="11"/>
      <c r="NCT37" s="11"/>
      <c r="NCU37" s="11"/>
      <c r="NCV37" s="11"/>
      <c r="NCW37" s="11"/>
      <c r="NCX37" s="11"/>
      <c r="NCY37" s="11"/>
      <c r="NCZ37" s="11"/>
      <c r="NDA37" s="11"/>
      <c r="NDB37" s="11"/>
      <c r="NDC37" s="11"/>
      <c r="NDD37" s="11"/>
      <c r="NDE37" s="11"/>
      <c r="NDF37" s="11"/>
      <c r="NDG37" s="11"/>
      <c r="NDH37" s="11"/>
      <c r="NDI37" s="11"/>
      <c r="NDJ37" s="11"/>
      <c r="NDK37" s="11"/>
      <c r="NDL37" s="11"/>
      <c r="NDM37" s="11"/>
      <c r="NDN37" s="11"/>
      <c r="NDO37" s="11"/>
      <c r="NDP37" s="11"/>
      <c r="NDQ37" s="11"/>
      <c r="NDR37" s="11"/>
      <c r="NDS37" s="11"/>
      <c r="NDT37" s="11"/>
      <c r="NDU37" s="11"/>
      <c r="NDV37" s="11"/>
      <c r="NDW37" s="11"/>
      <c r="NDX37" s="11"/>
      <c r="NDY37" s="11"/>
      <c r="NDZ37" s="11"/>
      <c r="NEA37" s="11"/>
      <c r="NEB37" s="11"/>
      <c r="NEC37" s="11"/>
      <c r="NED37" s="11"/>
      <c r="NEE37" s="11"/>
      <c r="NEF37" s="11"/>
      <c r="NEG37" s="11"/>
      <c r="NEH37" s="11"/>
      <c r="NEI37" s="11"/>
      <c r="NEJ37" s="11"/>
      <c r="NEK37" s="11"/>
      <c r="NEL37" s="11"/>
      <c r="NEM37" s="11"/>
      <c r="NEN37" s="11"/>
      <c r="NEO37" s="11"/>
      <c r="NEP37" s="11"/>
      <c r="NEQ37" s="11"/>
      <c r="NER37" s="11"/>
      <c r="NES37" s="11"/>
      <c r="NET37" s="11"/>
      <c r="NEU37" s="11"/>
      <c r="NEV37" s="11"/>
      <c r="NEW37" s="11"/>
      <c r="NEX37" s="11"/>
      <c r="NEY37" s="11"/>
      <c r="NEZ37" s="11"/>
      <c r="NFA37" s="11"/>
      <c r="NFB37" s="11"/>
      <c r="NFC37" s="11"/>
      <c r="NFD37" s="11"/>
      <c r="NFE37" s="11"/>
      <c r="NFF37" s="11"/>
      <c r="NFG37" s="11"/>
      <c r="NFH37" s="11"/>
      <c r="NFI37" s="11"/>
      <c r="NFJ37" s="11"/>
      <c r="NFK37" s="11"/>
      <c r="NFL37" s="11"/>
      <c r="NFM37" s="11"/>
      <c r="NFN37" s="11"/>
      <c r="NFO37" s="11"/>
      <c r="NFP37" s="11"/>
      <c r="NFQ37" s="11"/>
      <c r="NFR37" s="11"/>
      <c r="NFS37" s="11"/>
      <c r="NFT37" s="11"/>
      <c r="NFU37" s="11"/>
      <c r="NFV37" s="11"/>
      <c r="NFW37" s="11"/>
      <c r="NFX37" s="11"/>
      <c r="NFY37" s="11"/>
      <c r="NFZ37" s="11"/>
      <c r="NGA37" s="11"/>
      <c r="NGB37" s="11"/>
      <c r="NGC37" s="11"/>
      <c r="NGD37" s="11"/>
      <c r="NGE37" s="11"/>
      <c r="NGF37" s="11"/>
      <c r="NGG37" s="11"/>
      <c r="NGH37" s="11"/>
      <c r="NGI37" s="11"/>
      <c r="NGJ37" s="11"/>
      <c r="NGK37" s="11"/>
      <c r="NGL37" s="11"/>
      <c r="NGM37" s="11"/>
      <c r="NGN37" s="11"/>
      <c r="NGO37" s="11"/>
      <c r="NGP37" s="11"/>
      <c r="NGQ37" s="11"/>
      <c r="NGR37" s="11"/>
      <c r="NGS37" s="11"/>
      <c r="NGT37" s="11"/>
      <c r="NGU37" s="11"/>
      <c r="NGV37" s="11"/>
      <c r="NGW37" s="11"/>
      <c r="NGX37" s="11"/>
      <c r="NGY37" s="11"/>
      <c r="NGZ37" s="11"/>
      <c r="NHA37" s="11"/>
      <c r="NHB37" s="11"/>
      <c r="NHC37" s="11"/>
      <c r="NHD37" s="11"/>
      <c r="NHE37" s="11"/>
      <c r="NHF37" s="11"/>
      <c r="NHG37" s="11"/>
      <c r="NHH37" s="11"/>
      <c r="NHI37" s="11"/>
      <c r="NHJ37" s="11"/>
      <c r="NHK37" s="11"/>
      <c r="NHL37" s="11"/>
      <c r="NHM37" s="11"/>
      <c r="NHN37" s="11"/>
      <c r="NHO37" s="11"/>
      <c r="NHP37" s="11"/>
      <c r="NHQ37" s="11"/>
      <c r="NHR37" s="11"/>
      <c r="NHS37" s="11"/>
      <c r="NHT37" s="11"/>
      <c r="NHU37" s="11"/>
      <c r="NHV37" s="11"/>
      <c r="NHW37" s="11"/>
      <c r="NHX37" s="11"/>
      <c r="NHY37" s="11"/>
      <c r="NHZ37" s="11"/>
      <c r="NIA37" s="11"/>
      <c r="NIB37" s="11"/>
      <c r="NIC37" s="11"/>
      <c r="NID37" s="11"/>
      <c r="NIE37" s="11"/>
      <c r="NIF37" s="11"/>
      <c r="NIG37" s="11"/>
      <c r="NIH37" s="11"/>
      <c r="NII37" s="11"/>
      <c r="NIJ37" s="11"/>
      <c r="NIK37" s="11"/>
      <c r="NIL37" s="11"/>
      <c r="NIM37" s="11"/>
      <c r="NIN37" s="11"/>
      <c r="NIO37" s="11"/>
      <c r="NIP37" s="11"/>
      <c r="NIQ37" s="11"/>
      <c r="NIR37" s="11"/>
      <c r="NIS37" s="11"/>
      <c r="NIT37" s="11"/>
      <c r="NIU37" s="11"/>
      <c r="NIV37" s="11"/>
      <c r="NIW37" s="11"/>
      <c r="NIX37" s="11"/>
      <c r="NIY37" s="11"/>
      <c r="NIZ37" s="11"/>
      <c r="NJA37" s="11"/>
      <c r="NJB37" s="11"/>
      <c r="NJC37" s="11"/>
      <c r="NJD37" s="11"/>
      <c r="NJE37" s="11"/>
      <c r="NJF37" s="11"/>
      <c r="NJG37" s="11"/>
      <c r="NJH37" s="11"/>
      <c r="NJI37" s="11"/>
      <c r="NJJ37" s="11"/>
      <c r="NJK37" s="11"/>
      <c r="NJL37" s="11"/>
      <c r="NJM37" s="11"/>
      <c r="NJN37" s="11"/>
      <c r="NJO37" s="11"/>
      <c r="NJP37" s="11"/>
      <c r="NJQ37" s="11"/>
      <c r="NJR37" s="11"/>
      <c r="NJS37" s="11"/>
      <c r="NJT37" s="11"/>
      <c r="NJU37" s="11"/>
      <c r="NJV37" s="11"/>
      <c r="NJW37" s="11"/>
      <c r="NJX37" s="11"/>
      <c r="NJY37" s="11"/>
      <c r="NJZ37" s="11"/>
      <c r="NKA37" s="11"/>
      <c r="NKB37" s="11"/>
      <c r="NKC37" s="11"/>
      <c r="NKD37" s="11"/>
      <c r="NKE37" s="11"/>
      <c r="NKF37" s="11"/>
      <c r="NKG37" s="11"/>
      <c r="NKH37" s="11"/>
      <c r="NKI37" s="11"/>
      <c r="NKJ37" s="11"/>
      <c r="NKK37" s="11"/>
      <c r="NKL37" s="11"/>
      <c r="NKM37" s="11"/>
      <c r="NKN37" s="11"/>
      <c r="NKO37" s="11"/>
      <c r="NKP37" s="11"/>
      <c r="NKQ37" s="11"/>
      <c r="NKR37" s="11"/>
      <c r="NKS37" s="11"/>
      <c r="NKT37" s="11"/>
      <c r="NKU37" s="11"/>
      <c r="NKV37" s="11"/>
      <c r="NKW37" s="11"/>
      <c r="NKX37" s="11"/>
      <c r="NKY37" s="11"/>
      <c r="NKZ37" s="11"/>
      <c r="NLA37" s="11"/>
      <c r="NLB37" s="11"/>
      <c r="NLC37" s="11"/>
      <c r="NLD37" s="11"/>
      <c r="NLE37" s="11"/>
      <c r="NLF37" s="11"/>
      <c r="NLG37" s="11"/>
      <c r="NLH37" s="11"/>
      <c r="NLI37" s="11"/>
      <c r="NLJ37" s="11"/>
      <c r="NLK37" s="11"/>
      <c r="NLL37" s="11"/>
      <c r="NLM37" s="11"/>
      <c r="NLN37" s="11"/>
      <c r="NLO37" s="11"/>
      <c r="NLP37" s="11"/>
      <c r="NLQ37" s="11"/>
      <c r="NLR37" s="11"/>
      <c r="NLS37" s="11"/>
      <c r="NLT37" s="11"/>
      <c r="NLU37" s="11"/>
      <c r="NLV37" s="11"/>
      <c r="NLW37" s="11"/>
      <c r="NLX37" s="11"/>
      <c r="NLY37" s="11"/>
      <c r="NLZ37" s="11"/>
      <c r="NMA37" s="11"/>
      <c r="NMB37" s="11"/>
      <c r="NMC37" s="11"/>
      <c r="NMD37" s="11"/>
      <c r="NME37" s="11"/>
      <c r="NMF37" s="11"/>
      <c r="NMG37" s="11"/>
      <c r="NMH37" s="11"/>
      <c r="NMI37" s="11"/>
      <c r="NMJ37" s="11"/>
      <c r="NMK37" s="11"/>
      <c r="NML37" s="11"/>
      <c r="NMM37" s="11"/>
      <c r="NMN37" s="11"/>
      <c r="NMO37" s="11"/>
      <c r="NMP37" s="11"/>
      <c r="NMQ37" s="11"/>
      <c r="NMR37" s="11"/>
      <c r="NMS37" s="11"/>
      <c r="NMT37" s="11"/>
      <c r="NMU37" s="11"/>
      <c r="NMV37" s="11"/>
      <c r="NMW37" s="11"/>
      <c r="NMX37" s="11"/>
      <c r="NMY37" s="11"/>
      <c r="NMZ37" s="11"/>
      <c r="NNA37" s="11"/>
      <c r="NNB37" s="11"/>
      <c r="NNC37" s="11"/>
      <c r="NND37" s="11"/>
      <c r="NNE37" s="11"/>
      <c r="NNF37" s="11"/>
      <c r="NNG37" s="11"/>
      <c r="NNH37" s="11"/>
      <c r="NNI37" s="11"/>
      <c r="NNJ37" s="11"/>
      <c r="NNK37" s="11"/>
      <c r="NNL37" s="11"/>
      <c r="NNM37" s="11"/>
      <c r="NNN37" s="11"/>
      <c r="NNO37" s="11"/>
      <c r="NNP37" s="11"/>
      <c r="NNQ37" s="11"/>
      <c r="NNR37" s="11"/>
      <c r="NNS37" s="11"/>
      <c r="NNT37" s="11"/>
      <c r="NNU37" s="11"/>
      <c r="NNV37" s="11"/>
      <c r="NNW37" s="11"/>
      <c r="NNX37" s="11"/>
      <c r="NNY37" s="11"/>
      <c r="NNZ37" s="11"/>
      <c r="NOA37" s="11"/>
      <c r="NOB37" s="11"/>
      <c r="NOC37" s="11"/>
      <c r="NOD37" s="11"/>
      <c r="NOE37" s="11"/>
      <c r="NOF37" s="11"/>
      <c r="NOG37" s="11"/>
      <c r="NOH37" s="11"/>
      <c r="NOI37" s="11"/>
      <c r="NOJ37" s="11"/>
      <c r="NOK37" s="11"/>
      <c r="NOL37" s="11"/>
      <c r="NOM37" s="11"/>
      <c r="NON37" s="11"/>
      <c r="NOO37" s="11"/>
      <c r="NOP37" s="11"/>
      <c r="NOQ37" s="11"/>
      <c r="NOR37" s="11"/>
      <c r="NOS37" s="11"/>
      <c r="NOT37" s="11"/>
      <c r="NOU37" s="11"/>
      <c r="NOV37" s="11"/>
      <c r="NOW37" s="11"/>
      <c r="NOX37" s="11"/>
      <c r="NOY37" s="11"/>
      <c r="NOZ37" s="11"/>
      <c r="NPA37" s="11"/>
      <c r="NPB37" s="11"/>
      <c r="NPC37" s="11"/>
      <c r="NPD37" s="11"/>
      <c r="NPE37" s="11"/>
      <c r="NPF37" s="11"/>
      <c r="NPG37" s="11"/>
      <c r="NPH37" s="11"/>
      <c r="NPI37" s="11"/>
      <c r="NPJ37" s="11"/>
      <c r="NPK37" s="11"/>
      <c r="NPL37" s="11"/>
      <c r="NPM37" s="11"/>
      <c r="NPN37" s="11"/>
      <c r="NPO37" s="11"/>
      <c r="NPP37" s="11"/>
      <c r="NPQ37" s="11"/>
      <c r="NPR37" s="11"/>
      <c r="NPS37" s="11"/>
      <c r="NPT37" s="11"/>
      <c r="NPU37" s="11"/>
      <c r="NPV37" s="11"/>
      <c r="NPW37" s="11"/>
      <c r="NPX37" s="11"/>
      <c r="NPY37" s="11"/>
      <c r="NPZ37" s="11"/>
      <c r="NQA37" s="11"/>
      <c r="NQB37" s="11"/>
      <c r="NQC37" s="11"/>
      <c r="NQD37" s="11"/>
      <c r="NQE37" s="11"/>
      <c r="NQF37" s="11"/>
      <c r="NQG37" s="11"/>
      <c r="NQH37" s="11"/>
      <c r="NQI37" s="11"/>
      <c r="NQJ37" s="11"/>
      <c r="NQK37" s="11"/>
      <c r="NQL37" s="11"/>
      <c r="NQM37" s="11"/>
      <c r="NQN37" s="11"/>
      <c r="NQO37" s="11"/>
      <c r="NQP37" s="11"/>
      <c r="NQQ37" s="11"/>
      <c r="NQR37" s="11"/>
      <c r="NQS37" s="11"/>
      <c r="NQT37" s="11"/>
      <c r="NQU37" s="11"/>
      <c r="NQV37" s="11"/>
      <c r="NQW37" s="11"/>
      <c r="NQX37" s="11"/>
      <c r="NQY37" s="11"/>
      <c r="NQZ37" s="11"/>
      <c r="NRA37" s="11"/>
      <c r="NRB37" s="11"/>
      <c r="NRC37" s="11"/>
      <c r="NRD37" s="11"/>
      <c r="NRE37" s="11"/>
      <c r="NRF37" s="11"/>
      <c r="NRG37" s="11"/>
      <c r="NRH37" s="11"/>
      <c r="NRI37" s="11"/>
      <c r="NRJ37" s="11"/>
      <c r="NRK37" s="11"/>
      <c r="NRL37" s="11"/>
      <c r="NRM37" s="11"/>
      <c r="NRN37" s="11"/>
      <c r="NRO37" s="11"/>
      <c r="NRP37" s="11"/>
      <c r="NRQ37" s="11"/>
      <c r="NRR37" s="11"/>
      <c r="NRS37" s="11"/>
      <c r="NRT37" s="11"/>
      <c r="NRU37" s="11"/>
      <c r="NRV37" s="11"/>
      <c r="NRW37" s="11"/>
      <c r="NRX37" s="11"/>
      <c r="NRY37" s="11"/>
      <c r="NRZ37" s="11"/>
      <c r="NSA37" s="11"/>
      <c r="NSB37" s="11"/>
      <c r="NSC37" s="11"/>
      <c r="NSD37" s="11"/>
      <c r="NSE37" s="11"/>
      <c r="NSF37" s="11"/>
      <c r="NSG37" s="11"/>
      <c r="NSH37" s="11"/>
      <c r="NSI37" s="11"/>
      <c r="NSJ37" s="11"/>
      <c r="NSK37" s="11"/>
      <c r="NSL37" s="11"/>
      <c r="NSM37" s="11"/>
      <c r="NSN37" s="11"/>
      <c r="NSO37" s="11"/>
      <c r="NSP37" s="11"/>
      <c r="NSQ37" s="11"/>
      <c r="NSR37" s="11"/>
      <c r="NSS37" s="11"/>
      <c r="NST37" s="11"/>
      <c r="NSU37" s="11"/>
      <c r="NSV37" s="11"/>
      <c r="NSW37" s="11"/>
      <c r="NSX37" s="11"/>
      <c r="NSY37" s="11"/>
      <c r="NSZ37" s="11"/>
      <c r="NTA37" s="11"/>
      <c r="NTB37" s="11"/>
      <c r="NTC37" s="11"/>
      <c r="NTD37" s="11"/>
      <c r="NTE37" s="11"/>
      <c r="NTF37" s="11"/>
      <c r="NTG37" s="11"/>
      <c r="NTH37" s="11"/>
      <c r="NTI37" s="11"/>
      <c r="NTJ37" s="11"/>
      <c r="NTK37" s="11"/>
      <c r="NTL37" s="11"/>
      <c r="NTM37" s="11"/>
      <c r="NTN37" s="11"/>
      <c r="NTO37" s="11"/>
      <c r="NTP37" s="11"/>
      <c r="NTQ37" s="11"/>
      <c r="NTR37" s="11"/>
      <c r="NTS37" s="11"/>
      <c r="NTT37" s="11"/>
      <c r="NTU37" s="11"/>
      <c r="NTV37" s="11"/>
      <c r="NTW37" s="11"/>
      <c r="NTX37" s="11"/>
      <c r="NTY37" s="11"/>
      <c r="NTZ37" s="11"/>
      <c r="NUA37" s="11"/>
      <c r="NUB37" s="11"/>
      <c r="NUC37" s="11"/>
      <c r="NUD37" s="11"/>
      <c r="NUE37" s="11"/>
      <c r="NUF37" s="11"/>
      <c r="NUG37" s="11"/>
      <c r="NUH37" s="11"/>
      <c r="NUI37" s="11"/>
      <c r="NUJ37" s="11"/>
      <c r="NUK37" s="11"/>
      <c r="NUL37" s="11"/>
      <c r="NUM37" s="11"/>
      <c r="NUN37" s="11"/>
      <c r="NUO37" s="11"/>
      <c r="NUP37" s="11"/>
      <c r="NUQ37" s="11"/>
      <c r="NUR37" s="11"/>
      <c r="NUS37" s="11"/>
      <c r="NUT37" s="11"/>
      <c r="NUU37" s="11"/>
      <c r="NUV37" s="11"/>
      <c r="NUW37" s="11"/>
      <c r="NUX37" s="11"/>
      <c r="NUY37" s="11"/>
      <c r="NUZ37" s="11"/>
      <c r="NVA37" s="11"/>
      <c r="NVB37" s="11"/>
      <c r="NVC37" s="11"/>
      <c r="NVD37" s="11"/>
      <c r="NVE37" s="11"/>
      <c r="NVF37" s="11"/>
      <c r="NVG37" s="11"/>
      <c r="NVH37" s="11"/>
      <c r="NVI37" s="11"/>
      <c r="NVJ37" s="11"/>
      <c r="NVK37" s="11"/>
      <c r="NVL37" s="11"/>
      <c r="NVM37" s="11"/>
      <c r="NVN37" s="11"/>
      <c r="NVO37" s="11"/>
      <c r="NVP37" s="11"/>
      <c r="NVQ37" s="11"/>
      <c r="NVR37" s="11"/>
      <c r="NVS37" s="11"/>
      <c r="NVT37" s="11"/>
      <c r="NVU37" s="11"/>
      <c r="NVV37" s="11"/>
      <c r="NVW37" s="11"/>
      <c r="NVX37" s="11"/>
      <c r="NVY37" s="11"/>
      <c r="NVZ37" s="11"/>
      <c r="NWA37" s="11"/>
      <c r="NWB37" s="11"/>
      <c r="NWC37" s="11"/>
      <c r="NWD37" s="11"/>
      <c r="NWE37" s="11"/>
      <c r="NWF37" s="11"/>
      <c r="NWG37" s="11"/>
      <c r="NWH37" s="11"/>
      <c r="NWI37" s="11"/>
      <c r="NWJ37" s="11"/>
      <c r="NWK37" s="11"/>
      <c r="NWL37" s="11"/>
      <c r="NWM37" s="11"/>
      <c r="NWN37" s="11"/>
      <c r="NWO37" s="11"/>
      <c r="NWP37" s="11"/>
      <c r="NWQ37" s="11"/>
      <c r="NWR37" s="11"/>
      <c r="NWS37" s="11"/>
      <c r="NWT37" s="11"/>
      <c r="NWU37" s="11"/>
      <c r="NWV37" s="11"/>
      <c r="NWW37" s="11"/>
      <c r="NWX37" s="11"/>
      <c r="NWY37" s="11"/>
      <c r="NWZ37" s="11"/>
      <c r="NXA37" s="11"/>
      <c r="NXB37" s="11"/>
      <c r="NXC37" s="11"/>
      <c r="NXD37" s="11"/>
      <c r="NXE37" s="11"/>
      <c r="NXF37" s="11"/>
      <c r="NXG37" s="11"/>
      <c r="NXH37" s="11"/>
      <c r="NXI37" s="11"/>
      <c r="NXJ37" s="11"/>
      <c r="NXK37" s="11"/>
      <c r="NXL37" s="11"/>
      <c r="NXM37" s="11"/>
      <c r="NXN37" s="11"/>
      <c r="NXO37" s="11"/>
      <c r="NXP37" s="11"/>
      <c r="NXQ37" s="11"/>
      <c r="NXR37" s="11"/>
      <c r="NXS37" s="11"/>
      <c r="NXT37" s="11"/>
      <c r="NXU37" s="11"/>
      <c r="NXV37" s="11"/>
      <c r="NXW37" s="11"/>
      <c r="NXX37" s="11"/>
      <c r="NXY37" s="11"/>
      <c r="NXZ37" s="11"/>
      <c r="NYA37" s="11"/>
      <c r="NYB37" s="11"/>
      <c r="NYC37" s="11"/>
      <c r="NYD37" s="11"/>
      <c r="NYE37" s="11"/>
      <c r="NYF37" s="11"/>
      <c r="NYG37" s="11"/>
      <c r="NYH37" s="11"/>
      <c r="NYI37" s="11"/>
      <c r="NYJ37" s="11"/>
      <c r="NYK37" s="11"/>
      <c r="NYL37" s="11"/>
      <c r="NYM37" s="11"/>
      <c r="NYN37" s="11"/>
      <c r="NYO37" s="11"/>
      <c r="NYP37" s="11"/>
      <c r="NYQ37" s="11"/>
      <c r="NYR37" s="11"/>
      <c r="NYS37" s="11"/>
      <c r="NYT37" s="11"/>
      <c r="NYU37" s="11"/>
      <c r="NYV37" s="11"/>
      <c r="NYW37" s="11"/>
      <c r="NYX37" s="11"/>
      <c r="NYY37" s="11"/>
      <c r="NYZ37" s="11"/>
      <c r="NZA37" s="11"/>
      <c r="NZB37" s="11"/>
      <c r="NZC37" s="11"/>
      <c r="NZD37" s="11"/>
      <c r="NZE37" s="11"/>
      <c r="NZF37" s="11"/>
      <c r="NZG37" s="11"/>
      <c r="NZH37" s="11"/>
      <c r="NZI37" s="11"/>
      <c r="NZJ37" s="11"/>
      <c r="NZK37" s="11"/>
      <c r="NZL37" s="11"/>
      <c r="NZM37" s="11"/>
      <c r="NZN37" s="11"/>
      <c r="NZO37" s="11"/>
      <c r="NZP37" s="11"/>
      <c r="NZQ37" s="11"/>
      <c r="NZR37" s="11"/>
      <c r="NZS37" s="11"/>
      <c r="NZT37" s="11"/>
      <c r="NZU37" s="11"/>
      <c r="NZV37" s="11"/>
      <c r="NZW37" s="11"/>
      <c r="NZX37" s="11"/>
      <c r="NZY37" s="11"/>
      <c r="NZZ37" s="11"/>
      <c r="OAA37" s="11"/>
      <c r="OAB37" s="11"/>
      <c r="OAC37" s="11"/>
      <c r="OAD37" s="11"/>
      <c r="OAE37" s="11"/>
      <c r="OAF37" s="11"/>
      <c r="OAG37" s="11"/>
      <c r="OAH37" s="11"/>
      <c r="OAI37" s="11"/>
      <c r="OAJ37" s="11"/>
      <c r="OAK37" s="11"/>
      <c r="OAL37" s="11"/>
      <c r="OAM37" s="11"/>
      <c r="OAN37" s="11"/>
      <c r="OAO37" s="11"/>
      <c r="OAP37" s="11"/>
      <c r="OAQ37" s="11"/>
      <c r="OAR37" s="11"/>
      <c r="OAS37" s="11"/>
      <c r="OAT37" s="11"/>
      <c r="OAU37" s="11"/>
      <c r="OAV37" s="11"/>
      <c r="OAW37" s="11"/>
      <c r="OAX37" s="11"/>
      <c r="OAY37" s="11"/>
      <c r="OAZ37" s="11"/>
      <c r="OBA37" s="11"/>
      <c r="OBB37" s="11"/>
      <c r="OBC37" s="11"/>
      <c r="OBD37" s="11"/>
      <c r="OBE37" s="11"/>
      <c r="OBF37" s="11"/>
      <c r="OBG37" s="11"/>
      <c r="OBH37" s="11"/>
      <c r="OBI37" s="11"/>
      <c r="OBJ37" s="11"/>
      <c r="OBK37" s="11"/>
      <c r="OBL37" s="11"/>
      <c r="OBM37" s="11"/>
      <c r="OBN37" s="11"/>
      <c r="OBO37" s="11"/>
      <c r="OBP37" s="11"/>
      <c r="OBQ37" s="11"/>
      <c r="OBR37" s="11"/>
      <c r="OBS37" s="11"/>
      <c r="OBT37" s="11"/>
      <c r="OBU37" s="11"/>
      <c r="OBV37" s="11"/>
      <c r="OBW37" s="11"/>
      <c r="OBX37" s="11"/>
      <c r="OBY37" s="11"/>
      <c r="OBZ37" s="11"/>
      <c r="OCA37" s="11"/>
      <c r="OCB37" s="11"/>
      <c r="OCC37" s="11"/>
      <c r="OCD37" s="11"/>
      <c r="OCE37" s="11"/>
      <c r="OCF37" s="11"/>
      <c r="OCG37" s="11"/>
      <c r="OCH37" s="11"/>
      <c r="OCI37" s="11"/>
      <c r="OCJ37" s="11"/>
      <c r="OCK37" s="11"/>
      <c r="OCL37" s="11"/>
      <c r="OCM37" s="11"/>
      <c r="OCN37" s="11"/>
      <c r="OCO37" s="11"/>
      <c r="OCP37" s="11"/>
      <c r="OCQ37" s="11"/>
      <c r="OCR37" s="11"/>
      <c r="OCS37" s="11"/>
      <c r="OCT37" s="11"/>
      <c r="OCU37" s="11"/>
      <c r="OCV37" s="11"/>
      <c r="OCW37" s="11"/>
      <c r="OCX37" s="11"/>
      <c r="OCY37" s="11"/>
      <c r="OCZ37" s="11"/>
      <c r="ODA37" s="11"/>
      <c r="ODB37" s="11"/>
      <c r="ODC37" s="11"/>
      <c r="ODD37" s="11"/>
      <c r="ODE37" s="11"/>
      <c r="ODF37" s="11"/>
      <c r="ODG37" s="11"/>
      <c r="ODH37" s="11"/>
      <c r="ODI37" s="11"/>
      <c r="ODJ37" s="11"/>
      <c r="ODK37" s="11"/>
      <c r="ODL37" s="11"/>
      <c r="ODM37" s="11"/>
      <c r="ODN37" s="11"/>
      <c r="ODO37" s="11"/>
      <c r="ODP37" s="11"/>
      <c r="ODQ37" s="11"/>
      <c r="ODR37" s="11"/>
      <c r="ODS37" s="11"/>
      <c r="ODT37" s="11"/>
      <c r="ODU37" s="11"/>
      <c r="ODV37" s="11"/>
      <c r="ODW37" s="11"/>
      <c r="ODX37" s="11"/>
      <c r="ODY37" s="11"/>
      <c r="ODZ37" s="11"/>
      <c r="OEA37" s="11"/>
      <c r="OEB37" s="11"/>
      <c r="OEC37" s="11"/>
      <c r="OED37" s="11"/>
      <c r="OEE37" s="11"/>
      <c r="OEF37" s="11"/>
      <c r="OEG37" s="11"/>
      <c r="OEH37" s="11"/>
      <c r="OEI37" s="11"/>
      <c r="OEJ37" s="11"/>
      <c r="OEK37" s="11"/>
      <c r="OEL37" s="11"/>
      <c r="OEM37" s="11"/>
      <c r="OEN37" s="11"/>
      <c r="OEO37" s="11"/>
      <c r="OEP37" s="11"/>
      <c r="OEQ37" s="11"/>
      <c r="OER37" s="11"/>
      <c r="OES37" s="11"/>
      <c r="OET37" s="11"/>
      <c r="OEU37" s="11"/>
      <c r="OEV37" s="11"/>
      <c r="OEW37" s="11"/>
      <c r="OEX37" s="11"/>
      <c r="OEY37" s="11"/>
      <c r="OEZ37" s="11"/>
      <c r="OFA37" s="11"/>
      <c r="OFB37" s="11"/>
      <c r="OFC37" s="11"/>
      <c r="OFD37" s="11"/>
      <c r="OFE37" s="11"/>
      <c r="OFF37" s="11"/>
      <c r="OFG37" s="11"/>
      <c r="OFH37" s="11"/>
      <c r="OFI37" s="11"/>
      <c r="OFJ37" s="11"/>
      <c r="OFK37" s="11"/>
      <c r="OFL37" s="11"/>
      <c r="OFM37" s="11"/>
      <c r="OFN37" s="11"/>
      <c r="OFO37" s="11"/>
      <c r="OFP37" s="11"/>
      <c r="OFQ37" s="11"/>
      <c r="OFR37" s="11"/>
      <c r="OFS37" s="11"/>
      <c r="OFT37" s="11"/>
      <c r="OFU37" s="11"/>
      <c r="OFV37" s="11"/>
      <c r="OFW37" s="11"/>
      <c r="OFX37" s="11"/>
      <c r="OFY37" s="11"/>
      <c r="OFZ37" s="11"/>
      <c r="OGA37" s="11"/>
      <c r="OGB37" s="11"/>
      <c r="OGC37" s="11"/>
      <c r="OGD37" s="11"/>
      <c r="OGE37" s="11"/>
      <c r="OGF37" s="11"/>
      <c r="OGG37" s="11"/>
      <c r="OGH37" s="11"/>
      <c r="OGI37" s="11"/>
      <c r="OGJ37" s="11"/>
      <c r="OGK37" s="11"/>
      <c r="OGL37" s="11"/>
      <c r="OGM37" s="11"/>
      <c r="OGN37" s="11"/>
      <c r="OGO37" s="11"/>
      <c r="OGP37" s="11"/>
      <c r="OGQ37" s="11"/>
      <c r="OGR37" s="11"/>
      <c r="OGS37" s="11"/>
      <c r="OGT37" s="11"/>
      <c r="OGU37" s="11"/>
      <c r="OGV37" s="11"/>
      <c r="OGW37" s="11"/>
      <c r="OGX37" s="11"/>
      <c r="OGY37" s="11"/>
      <c r="OGZ37" s="11"/>
      <c r="OHA37" s="11"/>
      <c r="OHB37" s="11"/>
      <c r="OHC37" s="11"/>
      <c r="OHD37" s="11"/>
      <c r="OHE37" s="11"/>
      <c r="OHF37" s="11"/>
      <c r="OHG37" s="11"/>
      <c r="OHH37" s="11"/>
      <c r="OHI37" s="11"/>
      <c r="OHJ37" s="11"/>
      <c r="OHK37" s="11"/>
      <c r="OHL37" s="11"/>
      <c r="OHM37" s="11"/>
      <c r="OHN37" s="11"/>
      <c r="OHO37" s="11"/>
      <c r="OHP37" s="11"/>
      <c r="OHQ37" s="11"/>
      <c r="OHR37" s="11"/>
      <c r="OHS37" s="11"/>
      <c r="OHT37" s="11"/>
      <c r="OHU37" s="11"/>
      <c r="OHV37" s="11"/>
      <c r="OHW37" s="11"/>
      <c r="OHX37" s="11"/>
      <c r="OHY37" s="11"/>
      <c r="OHZ37" s="11"/>
      <c r="OIA37" s="11"/>
      <c r="OIB37" s="11"/>
      <c r="OIC37" s="11"/>
      <c r="OID37" s="11"/>
      <c r="OIE37" s="11"/>
      <c r="OIF37" s="11"/>
      <c r="OIG37" s="11"/>
      <c r="OIH37" s="11"/>
      <c r="OII37" s="11"/>
      <c r="OIJ37" s="11"/>
      <c r="OIK37" s="11"/>
      <c r="OIL37" s="11"/>
      <c r="OIM37" s="11"/>
      <c r="OIN37" s="11"/>
      <c r="OIO37" s="11"/>
      <c r="OIP37" s="11"/>
      <c r="OIQ37" s="11"/>
      <c r="OIR37" s="11"/>
      <c r="OIS37" s="11"/>
      <c r="OIT37" s="11"/>
      <c r="OIU37" s="11"/>
      <c r="OIV37" s="11"/>
      <c r="OIW37" s="11"/>
      <c r="OIX37" s="11"/>
      <c r="OIY37" s="11"/>
      <c r="OIZ37" s="11"/>
      <c r="OJA37" s="11"/>
      <c r="OJB37" s="11"/>
      <c r="OJC37" s="11"/>
      <c r="OJD37" s="11"/>
      <c r="OJE37" s="11"/>
      <c r="OJF37" s="11"/>
      <c r="OJG37" s="11"/>
      <c r="OJH37" s="11"/>
      <c r="OJI37" s="11"/>
      <c r="OJJ37" s="11"/>
      <c r="OJK37" s="11"/>
      <c r="OJL37" s="11"/>
      <c r="OJM37" s="11"/>
      <c r="OJN37" s="11"/>
      <c r="OJO37" s="11"/>
      <c r="OJP37" s="11"/>
      <c r="OJQ37" s="11"/>
      <c r="OJR37" s="11"/>
      <c r="OJS37" s="11"/>
      <c r="OJT37" s="11"/>
      <c r="OJU37" s="11"/>
      <c r="OJV37" s="11"/>
      <c r="OJW37" s="11"/>
      <c r="OJX37" s="11"/>
      <c r="OJY37" s="11"/>
      <c r="OJZ37" s="11"/>
      <c r="OKA37" s="11"/>
      <c r="OKB37" s="11"/>
      <c r="OKC37" s="11"/>
      <c r="OKD37" s="11"/>
      <c r="OKE37" s="11"/>
      <c r="OKF37" s="11"/>
      <c r="OKG37" s="11"/>
      <c r="OKH37" s="11"/>
      <c r="OKI37" s="11"/>
      <c r="OKJ37" s="11"/>
      <c r="OKK37" s="11"/>
      <c r="OKL37" s="11"/>
      <c r="OKM37" s="11"/>
      <c r="OKN37" s="11"/>
      <c r="OKO37" s="11"/>
      <c r="OKP37" s="11"/>
      <c r="OKQ37" s="11"/>
      <c r="OKR37" s="11"/>
      <c r="OKS37" s="11"/>
      <c r="OKT37" s="11"/>
      <c r="OKU37" s="11"/>
      <c r="OKV37" s="11"/>
      <c r="OKW37" s="11"/>
      <c r="OKX37" s="11"/>
      <c r="OKY37" s="11"/>
      <c r="OKZ37" s="11"/>
      <c r="OLA37" s="11"/>
      <c r="OLB37" s="11"/>
      <c r="OLC37" s="11"/>
      <c r="OLD37" s="11"/>
      <c r="OLE37" s="11"/>
      <c r="OLF37" s="11"/>
      <c r="OLG37" s="11"/>
      <c r="OLH37" s="11"/>
      <c r="OLI37" s="11"/>
      <c r="OLJ37" s="11"/>
      <c r="OLK37" s="11"/>
      <c r="OLL37" s="11"/>
      <c r="OLM37" s="11"/>
      <c r="OLN37" s="11"/>
      <c r="OLO37" s="11"/>
      <c r="OLP37" s="11"/>
      <c r="OLQ37" s="11"/>
      <c r="OLR37" s="11"/>
      <c r="OLS37" s="11"/>
      <c r="OLT37" s="11"/>
      <c r="OLU37" s="11"/>
      <c r="OLV37" s="11"/>
      <c r="OLW37" s="11"/>
      <c r="OLX37" s="11"/>
      <c r="OLY37" s="11"/>
      <c r="OLZ37" s="11"/>
      <c r="OMA37" s="11"/>
      <c r="OMB37" s="11"/>
      <c r="OMC37" s="11"/>
      <c r="OMD37" s="11"/>
      <c r="OME37" s="11"/>
      <c r="OMF37" s="11"/>
      <c r="OMG37" s="11"/>
      <c r="OMH37" s="11"/>
      <c r="OMI37" s="11"/>
      <c r="OMJ37" s="11"/>
      <c r="OMK37" s="11"/>
      <c r="OML37" s="11"/>
      <c r="OMM37" s="11"/>
      <c r="OMN37" s="11"/>
      <c r="OMO37" s="11"/>
      <c r="OMP37" s="11"/>
      <c r="OMQ37" s="11"/>
      <c r="OMR37" s="11"/>
      <c r="OMS37" s="11"/>
      <c r="OMT37" s="11"/>
      <c r="OMU37" s="11"/>
      <c r="OMV37" s="11"/>
      <c r="OMW37" s="11"/>
      <c r="OMX37" s="11"/>
      <c r="OMY37" s="11"/>
      <c r="OMZ37" s="11"/>
      <c r="ONA37" s="11"/>
      <c r="ONB37" s="11"/>
      <c r="ONC37" s="11"/>
      <c r="OND37" s="11"/>
      <c r="ONE37" s="11"/>
      <c r="ONF37" s="11"/>
      <c r="ONG37" s="11"/>
      <c r="ONH37" s="11"/>
      <c r="ONI37" s="11"/>
      <c r="ONJ37" s="11"/>
      <c r="ONK37" s="11"/>
      <c r="ONL37" s="11"/>
      <c r="ONM37" s="11"/>
      <c r="ONN37" s="11"/>
      <c r="ONO37" s="11"/>
      <c r="ONP37" s="11"/>
      <c r="ONQ37" s="11"/>
      <c r="ONR37" s="11"/>
      <c r="ONS37" s="11"/>
      <c r="ONT37" s="11"/>
      <c r="ONU37" s="11"/>
      <c r="ONV37" s="11"/>
      <c r="ONW37" s="11"/>
      <c r="ONX37" s="11"/>
      <c r="ONY37" s="11"/>
      <c r="ONZ37" s="11"/>
      <c r="OOA37" s="11"/>
      <c r="OOB37" s="11"/>
      <c r="OOC37" s="11"/>
      <c r="OOD37" s="11"/>
      <c r="OOE37" s="11"/>
      <c r="OOF37" s="11"/>
      <c r="OOG37" s="11"/>
      <c r="OOH37" s="11"/>
      <c r="OOI37" s="11"/>
      <c r="OOJ37" s="11"/>
      <c r="OOK37" s="11"/>
      <c r="OOL37" s="11"/>
      <c r="OOM37" s="11"/>
      <c r="OON37" s="11"/>
      <c r="OOO37" s="11"/>
      <c r="OOP37" s="11"/>
      <c r="OOQ37" s="11"/>
      <c r="OOR37" s="11"/>
      <c r="OOS37" s="11"/>
      <c r="OOT37" s="11"/>
      <c r="OOU37" s="11"/>
      <c r="OOV37" s="11"/>
      <c r="OOW37" s="11"/>
      <c r="OOX37" s="11"/>
      <c r="OOY37" s="11"/>
      <c r="OOZ37" s="11"/>
      <c r="OPA37" s="11"/>
      <c r="OPB37" s="11"/>
      <c r="OPC37" s="11"/>
      <c r="OPD37" s="11"/>
      <c r="OPE37" s="11"/>
      <c r="OPF37" s="11"/>
      <c r="OPG37" s="11"/>
      <c r="OPH37" s="11"/>
      <c r="OPI37" s="11"/>
      <c r="OPJ37" s="11"/>
      <c r="OPK37" s="11"/>
      <c r="OPL37" s="11"/>
      <c r="OPM37" s="11"/>
      <c r="OPN37" s="11"/>
      <c r="OPO37" s="11"/>
      <c r="OPP37" s="11"/>
      <c r="OPQ37" s="11"/>
      <c r="OPR37" s="11"/>
      <c r="OPS37" s="11"/>
      <c r="OPT37" s="11"/>
      <c r="OPU37" s="11"/>
      <c r="OPV37" s="11"/>
      <c r="OPW37" s="11"/>
      <c r="OPX37" s="11"/>
      <c r="OPY37" s="11"/>
      <c r="OPZ37" s="11"/>
      <c r="OQA37" s="11"/>
      <c r="OQB37" s="11"/>
      <c r="OQC37" s="11"/>
      <c r="OQD37" s="11"/>
      <c r="OQE37" s="11"/>
      <c r="OQF37" s="11"/>
      <c r="OQG37" s="11"/>
      <c r="OQH37" s="11"/>
      <c r="OQI37" s="11"/>
      <c r="OQJ37" s="11"/>
      <c r="OQK37" s="11"/>
      <c r="OQL37" s="11"/>
      <c r="OQM37" s="11"/>
      <c r="OQN37" s="11"/>
      <c r="OQO37" s="11"/>
      <c r="OQP37" s="11"/>
      <c r="OQQ37" s="11"/>
      <c r="OQR37" s="11"/>
      <c r="OQS37" s="11"/>
      <c r="OQT37" s="11"/>
      <c r="OQU37" s="11"/>
      <c r="OQV37" s="11"/>
      <c r="OQW37" s="11"/>
      <c r="OQX37" s="11"/>
      <c r="OQY37" s="11"/>
      <c r="OQZ37" s="11"/>
      <c r="ORA37" s="11"/>
      <c r="ORB37" s="11"/>
      <c r="ORC37" s="11"/>
      <c r="ORD37" s="11"/>
      <c r="ORE37" s="11"/>
      <c r="ORF37" s="11"/>
      <c r="ORG37" s="11"/>
      <c r="ORH37" s="11"/>
      <c r="ORI37" s="11"/>
      <c r="ORJ37" s="11"/>
      <c r="ORK37" s="11"/>
      <c r="ORL37" s="11"/>
      <c r="ORM37" s="11"/>
      <c r="ORN37" s="11"/>
      <c r="ORO37" s="11"/>
      <c r="ORP37" s="11"/>
      <c r="ORQ37" s="11"/>
      <c r="ORR37" s="11"/>
      <c r="ORS37" s="11"/>
      <c r="ORT37" s="11"/>
      <c r="ORU37" s="11"/>
      <c r="ORV37" s="11"/>
      <c r="ORW37" s="11"/>
      <c r="ORX37" s="11"/>
      <c r="ORY37" s="11"/>
      <c r="ORZ37" s="11"/>
      <c r="OSA37" s="11"/>
      <c r="OSB37" s="11"/>
      <c r="OSC37" s="11"/>
      <c r="OSD37" s="11"/>
      <c r="OSE37" s="11"/>
      <c r="OSF37" s="11"/>
      <c r="OSG37" s="11"/>
      <c r="OSH37" s="11"/>
      <c r="OSI37" s="11"/>
      <c r="OSJ37" s="11"/>
      <c r="OSK37" s="11"/>
      <c r="OSL37" s="11"/>
      <c r="OSM37" s="11"/>
      <c r="OSN37" s="11"/>
      <c r="OSO37" s="11"/>
      <c r="OSP37" s="11"/>
      <c r="OSQ37" s="11"/>
      <c r="OSR37" s="11"/>
      <c r="OSS37" s="11"/>
      <c r="OST37" s="11"/>
      <c r="OSU37" s="11"/>
      <c r="OSV37" s="11"/>
      <c r="OSW37" s="11"/>
      <c r="OSX37" s="11"/>
      <c r="OSY37" s="11"/>
      <c r="OSZ37" s="11"/>
      <c r="OTA37" s="11"/>
      <c r="OTB37" s="11"/>
      <c r="OTC37" s="11"/>
      <c r="OTD37" s="11"/>
      <c r="OTE37" s="11"/>
      <c r="OTF37" s="11"/>
      <c r="OTG37" s="11"/>
      <c r="OTH37" s="11"/>
      <c r="OTI37" s="11"/>
      <c r="OTJ37" s="11"/>
      <c r="OTK37" s="11"/>
      <c r="OTL37" s="11"/>
      <c r="OTM37" s="11"/>
      <c r="OTN37" s="11"/>
      <c r="OTO37" s="11"/>
      <c r="OTP37" s="11"/>
      <c r="OTQ37" s="11"/>
      <c r="OTR37" s="11"/>
      <c r="OTS37" s="11"/>
      <c r="OTT37" s="11"/>
      <c r="OTU37" s="11"/>
      <c r="OTV37" s="11"/>
      <c r="OTW37" s="11"/>
      <c r="OTX37" s="11"/>
      <c r="OTY37" s="11"/>
      <c r="OTZ37" s="11"/>
      <c r="OUA37" s="11"/>
      <c r="OUB37" s="11"/>
      <c r="OUC37" s="11"/>
      <c r="OUD37" s="11"/>
      <c r="OUE37" s="11"/>
      <c r="OUF37" s="11"/>
      <c r="OUG37" s="11"/>
      <c r="OUH37" s="11"/>
      <c r="OUI37" s="11"/>
      <c r="OUJ37" s="11"/>
      <c r="OUK37" s="11"/>
      <c r="OUL37" s="11"/>
      <c r="OUM37" s="11"/>
      <c r="OUN37" s="11"/>
      <c r="OUO37" s="11"/>
      <c r="OUP37" s="11"/>
      <c r="OUQ37" s="11"/>
      <c r="OUR37" s="11"/>
      <c r="OUS37" s="11"/>
      <c r="OUT37" s="11"/>
      <c r="OUU37" s="11"/>
      <c r="OUV37" s="11"/>
      <c r="OUW37" s="11"/>
      <c r="OUX37" s="11"/>
      <c r="OUY37" s="11"/>
      <c r="OUZ37" s="11"/>
      <c r="OVA37" s="11"/>
      <c r="OVB37" s="11"/>
      <c r="OVC37" s="11"/>
      <c r="OVD37" s="11"/>
      <c r="OVE37" s="11"/>
      <c r="OVF37" s="11"/>
      <c r="OVG37" s="11"/>
      <c r="OVH37" s="11"/>
      <c r="OVI37" s="11"/>
      <c r="OVJ37" s="11"/>
      <c r="OVK37" s="11"/>
      <c r="OVL37" s="11"/>
      <c r="OVM37" s="11"/>
      <c r="OVN37" s="11"/>
      <c r="OVO37" s="11"/>
      <c r="OVP37" s="11"/>
      <c r="OVQ37" s="11"/>
      <c r="OVR37" s="11"/>
      <c r="OVS37" s="11"/>
      <c r="OVT37" s="11"/>
      <c r="OVU37" s="11"/>
      <c r="OVV37" s="11"/>
      <c r="OVW37" s="11"/>
      <c r="OVX37" s="11"/>
      <c r="OVY37" s="11"/>
      <c r="OVZ37" s="11"/>
      <c r="OWA37" s="11"/>
      <c r="OWB37" s="11"/>
      <c r="OWC37" s="11"/>
      <c r="OWD37" s="11"/>
      <c r="OWE37" s="11"/>
      <c r="OWF37" s="11"/>
      <c r="OWG37" s="11"/>
      <c r="OWH37" s="11"/>
      <c r="OWI37" s="11"/>
      <c r="OWJ37" s="11"/>
      <c r="OWK37" s="11"/>
      <c r="OWL37" s="11"/>
      <c r="OWM37" s="11"/>
      <c r="OWN37" s="11"/>
      <c r="OWO37" s="11"/>
      <c r="OWP37" s="11"/>
      <c r="OWQ37" s="11"/>
      <c r="OWR37" s="11"/>
      <c r="OWS37" s="11"/>
      <c r="OWT37" s="11"/>
      <c r="OWU37" s="11"/>
      <c r="OWV37" s="11"/>
      <c r="OWW37" s="11"/>
      <c r="OWX37" s="11"/>
      <c r="OWY37" s="11"/>
      <c r="OWZ37" s="11"/>
      <c r="OXA37" s="11"/>
      <c r="OXB37" s="11"/>
      <c r="OXC37" s="11"/>
      <c r="OXD37" s="11"/>
      <c r="OXE37" s="11"/>
      <c r="OXF37" s="11"/>
      <c r="OXG37" s="11"/>
      <c r="OXH37" s="11"/>
      <c r="OXI37" s="11"/>
      <c r="OXJ37" s="11"/>
      <c r="OXK37" s="11"/>
      <c r="OXL37" s="11"/>
      <c r="OXM37" s="11"/>
      <c r="OXN37" s="11"/>
      <c r="OXO37" s="11"/>
      <c r="OXP37" s="11"/>
      <c r="OXQ37" s="11"/>
      <c r="OXR37" s="11"/>
      <c r="OXS37" s="11"/>
      <c r="OXT37" s="11"/>
      <c r="OXU37" s="11"/>
      <c r="OXV37" s="11"/>
      <c r="OXW37" s="11"/>
      <c r="OXX37" s="11"/>
      <c r="OXY37" s="11"/>
      <c r="OXZ37" s="11"/>
      <c r="OYA37" s="11"/>
      <c r="OYB37" s="11"/>
      <c r="OYC37" s="11"/>
      <c r="OYD37" s="11"/>
      <c r="OYE37" s="11"/>
      <c r="OYF37" s="11"/>
      <c r="OYG37" s="11"/>
      <c r="OYH37" s="11"/>
      <c r="OYI37" s="11"/>
      <c r="OYJ37" s="11"/>
      <c r="OYK37" s="11"/>
      <c r="OYL37" s="11"/>
      <c r="OYM37" s="11"/>
      <c r="OYN37" s="11"/>
      <c r="OYO37" s="11"/>
      <c r="OYP37" s="11"/>
      <c r="OYQ37" s="11"/>
      <c r="OYR37" s="11"/>
      <c r="OYS37" s="11"/>
      <c r="OYT37" s="11"/>
      <c r="OYU37" s="11"/>
      <c r="OYV37" s="11"/>
      <c r="OYW37" s="11"/>
      <c r="OYX37" s="11"/>
      <c r="OYY37" s="11"/>
      <c r="OYZ37" s="11"/>
      <c r="OZA37" s="11"/>
      <c r="OZB37" s="11"/>
      <c r="OZC37" s="11"/>
      <c r="OZD37" s="11"/>
      <c r="OZE37" s="11"/>
      <c r="OZF37" s="11"/>
      <c r="OZG37" s="11"/>
      <c r="OZH37" s="11"/>
      <c r="OZI37" s="11"/>
      <c r="OZJ37" s="11"/>
      <c r="OZK37" s="11"/>
      <c r="OZL37" s="11"/>
      <c r="OZM37" s="11"/>
      <c r="OZN37" s="11"/>
      <c r="OZO37" s="11"/>
      <c r="OZP37" s="11"/>
      <c r="OZQ37" s="11"/>
      <c r="OZR37" s="11"/>
      <c r="OZS37" s="11"/>
      <c r="OZT37" s="11"/>
      <c r="OZU37" s="11"/>
      <c r="OZV37" s="11"/>
      <c r="OZW37" s="11"/>
      <c r="OZX37" s="11"/>
      <c r="OZY37" s="11"/>
      <c r="OZZ37" s="11"/>
      <c r="PAA37" s="11"/>
      <c r="PAB37" s="11"/>
      <c r="PAC37" s="11"/>
      <c r="PAD37" s="11"/>
      <c r="PAE37" s="11"/>
      <c r="PAF37" s="11"/>
      <c r="PAG37" s="11"/>
      <c r="PAH37" s="11"/>
      <c r="PAI37" s="11"/>
      <c r="PAJ37" s="11"/>
      <c r="PAK37" s="11"/>
      <c r="PAL37" s="11"/>
      <c r="PAM37" s="11"/>
      <c r="PAN37" s="11"/>
      <c r="PAO37" s="11"/>
      <c r="PAP37" s="11"/>
      <c r="PAQ37" s="11"/>
      <c r="PAR37" s="11"/>
      <c r="PAS37" s="11"/>
      <c r="PAT37" s="11"/>
      <c r="PAU37" s="11"/>
      <c r="PAV37" s="11"/>
      <c r="PAW37" s="11"/>
      <c r="PAX37" s="11"/>
      <c r="PAY37" s="11"/>
      <c r="PAZ37" s="11"/>
      <c r="PBA37" s="11"/>
      <c r="PBB37" s="11"/>
      <c r="PBC37" s="11"/>
      <c r="PBD37" s="11"/>
      <c r="PBE37" s="11"/>
      <c r="PBF37" s="11"/>
      <c r="PBG37" s="11"/>
      <c r="PBH37" s="11"/>
      <c r="PBI37" s="11"/>
      <c r="PBJ37" s="11"/>
      <c r="PBK37" s="11"/>
      <c r="PBL37" s="11"/>
      <c r="PBM37" s="11"/>
      <c r="PBN37" s="11"/>
      <c r="PBO37" s="11"/>
      <c r="PBP37" s="11"/>
      <c r="PBQ37" s="11"/>
      <c r="PBR37" s="11"/>
      <c r="PBS37" s="11"/>
      <c r="PBT37" s="11"/>
      <c r="PBU37" s="11"/>
      <c r="PBV37" s="11"/>
      <c r="PBW37" s="11"/>
      <c r="PBX37" s="11"/>
      <c r="PBY37" s="11"/>
      <c r="PBZ37" s="11"/>
      <c r="PCA37" s="11"/>
      <c r="PCB37" s="11"/>
      <c r="PCC37" s="11"/>
      <c r="PCD37" s="11"/>
      <c r="PCE37" s="11"/>
      <c r="PCF37" s="11"/>
      <c r="PCG37" s="11"/>
      <c r="PCH37" s="11"/>
      <c r="PCI37" s="11"/>
      <c r="PCJ37" s="11"/>
      <c r="PCK37" s="11"/>
      <c r="PCL37" s="11"/>
      <c r="PCM37" s="11"/>
      <c r="PCN37" s="11"/>
      <c r="PCO37" s="11"/>
      <c r="PCP37" s="11"/>
      <c r="PCQ37" s="11"/>
      <c r="PCR37" s="11"/>
      <c r="PCS37" s="11"/>
      <c r="PCT37" s="11"/>
      <c r="PCU37" s="11"/>
      <c r="PCV37" s="11"/>
      <c r="PCW37" s="11"/>
      <c r="PCX37" s="11"/>
      <c r="PCY37" s="11"/>
      <c r="PCZ37" s="11"/>
      <c r="PDA37" s="11"/>
      <c r="PDB37" s="11"/>
      <c r="PDC37" s="11"/>
      <c r="PDD37" s="11"/>
      <c r="PDE37" s="11"/>
      <c r="PDF37" s="11"/>
      <c r="PDG37" s="11"/>
      <c r="PDH37" s="11"/>
      <c r="PDI37" s="11"/>
      <c r="PDJ37" s="11"/>
      <c r="PDK37" s="11"/>
      <c r="PDL37" s="11"/>
      <c r="PDM37" s="11"/>
      <c r="PDN37" s="11"/>
      <c r="PDO37" s="11"/>
      <c r="PDP37" s="11"/>
      <c r="PDQ37" s="11"/>
      <c r="PDR37" s="11"/>
      <c r="PDS37" s="11"/>
      <c r="PDT37" s="11"/>
      <c r="PDU37" s="11"/>
      <c r="PDV37" s="11"/>
      <c r="PDW37" s="11"/>
      <c r="PDX37" s="11"/>
      <c r="PDY37" s="11"/>
      <c r="PDZ37" s="11"/>
      <c r="PEA37" s="11"/>
      <c r="PEB37" s="11"/>
      <c r="PEC37" s="11"/>
      <c r="PED37" s="11"/>
      <c r="PEE37" s="11"/>
      <c r="PEF37" s="11"/>
      <c r="PEG37" s="11"/>
      <c r="PEH37" s="11"/>
      <c r="PEI37" s="11"/>
      <c r="PEJ37" s="11"/>
      <c r="PEK37" s="11"/>
      <c r="PEL37" s="11"/>
      <c r="PEM37" s="11"/>
      <c r="PEN37" s="11"/>
      <c r="PEO37" s="11"/>
      <c r="PEP37" s="11"/>
      <c r="PEQ37" s="11"/>
      <c r="PER37" s="11"/>
      <c r="PES37" s="11"/>
      <c r="PET37" s="11"/>
      <c r="PEU37" s="11"/>
      <c r="PEV37" s="11"/>
      <c r="PEW37" s="11"/>
      <c r="PEX37" s="11"/>
      <c r="PEY37" s="11"/>
      <c r="PEZ37" s="11"/>
      <c r="PFA37" s="11"/>
      <c r="PFB37" s="11"/>
      <c r="PFC37" s="11"/>
      <c r="PFD37" s="11"/>
      <c r="PFE37" s="11"/>
      <c r="PFF37" s="11"/>
      <c r="PFG37" s="11"/>
      <c r="PFH37" s="11"/>
      <c r="PFI37" s="11"/>
      <c r="PFJ37" s="11"/>
      <c r="PFK37" s="11"/>
      <c r="PFL37" s="11"/>
      <c r="PFM37" s="11"/>
      <c r="PFN37" s="11"/>
      <c r="PFO37" s="11"/>
      <c r="PFP37" s="11"/>
      <c r="PFQ37" s="11"/>
      <c r="PFR37" s="11"/>
      <c r="PFS37" s="11"/>
      <c r="PFT37" s="11"/>
      <c r="PFU37" s="11"/>
      <c r="PFV37" s="11"/>
      <c r="PFW37" s="11"/>
      <c r="PFX37" s="11"/>
      <c r="PFY37" s="11"/>
      <c r="PFZ37" s="11"/>
      <c r="PGA37" s="11"/>
      <c r="PGB37" s="11"/>
      <c r="PGC37" s="11"/>
      <c r="PGD37" s="11"/>
      <c r="PGE37" s="11"/>
      <c r="PGF37" s="11"/>
      <c r="PGG37" s="11"/>
      <c r="PGH37" s="11"/>
      <c r="PGI37" s="11"/>
      <c r="PGJ37" s="11"/>
      <c r="PGK37" s="11"/>
      <c r="PGL37" s="11"/>
      <c r="PGM37" s="11"/>
      <c r="PGN37" s="11"/>
      <c r="PGO37" s="11"/>
      <c r="PGP37" s="11"/>
      <c r="PGQ37" s="11"/>
      <c r="PGR37" s="11"/>
      <c r="PGS37" s="11"/>
      <c r="PGT37" s="11"/>
      <c r="PGU37" s="11"/>
      <c r="PGV37" s="11"/>
      <c r="PGW37" s="11"/>
      <c r="PGX37" s="11"/>
      <c r="PGY37" s="11"/>
      <c r="PGZ37" s="11"/>
      <c r="PHA37" s="11"/>
      <c r="PHB37" s="11"/>
      <c r="PHC37" s="11"/>
      <c r="PHD37" s="11"/>
      <c r="PHE37" s="11"/>
      <c r="PHF37" s="11"/>
      <c r="PHG37" s="11"/>
      <c r="PHH37" s="11"/>
      <c r="PHI37" s="11"/>
      <c r="PHJ37" s="11"/>
      <c r="PHK37" s="11"/>
      <c r="PHL37" s="11"/>
      <c r="PHM37" s="11"/>
      <c r="PHN37" s="11"/>
      <c r="PHO37" s="11"/>
      <c r="PHP37" s="11"/>
      <c r="PHQ37" s="11"/>
      <c r="PHR37" s="11"/>
      <c r="PHS37" s="11"/>
      <c r="PHT37" s="11"/>
      <c r="PHU37" s="11"/>
      <c r="PHV37" s="11"/>
      <c r="PHW37" s="11"/>
      <c r="PHX37" s="11"/>
      <c r="PHY37" s="11"/>
      <c r="PHZ37" s="11"/>
      <c r="PIA37" s="11"/>
      <c r="PIB37" s="11"/>
      <c r="PIC37" s="11"/>
      <c r="PID37" s="11"/>
      <c r="PIE37" s="11"/>
      <c r="PIF37" s="11"/>
      <c r="PIG37" s="11"/>
      <c r="PIH37" s="11"/>
      <c r="PII37" s="11"/>
      <c r="PIJ37" s="11"/>
      <c r="PIK37" s="11"/>
      <c r="PIL37" s="11"/>
      <c r="PIM37" s="11"/>
      <c r="PIN37" s="11"/>
      <c r="PIO37" s="11"/>
      <c r="PIP37" s="11"/>
      <c r="PIQ37" s="11"/>
      <c r="PIR37" s="11"/>
      <c r="PIS37" s="11"/>
      <c r="PIT37" s="11"/>
      <c r="PIU37" s="11"/>
      <c r="PIV37" s="11"/>
      <c r="PIW37" s="11"/>
      <c r="PIX37" s="11"/>
      <c r="PIY37" s="11"/>
      <c r="PIZ37" s="11"/>
      <c r="PJA37" s="11"/>
      <c r="PJB37" s="11"/>
      <c r="PJC37" s="11"/>
      <c r="PJD37" s="11"/>
      <c r="PJE37" s="11"/>
      <c r="PJF37" s="11"/>
      <c r="PJG37" s="11"/>
      <c r="PJH37" s="11"/>
      <c r="PJI37" s="11"/>
      <c r="PJJ37" s="11"/>
      <c r="PJK37" s="11"/>
      <c r="PJL37" s="11"/>
      <c r="PJM37" s="11"/>
      <c r="PJN37" s="11"/>
      <c r="PJO37" s="11"/>
      <c r="PJP37" s="11"/>
      <c r="PJQ37" s="11"/>
      <c r="PJR37" s="11"/>
      <c r="PJS37" s="11"/>
      <c r="PJT37" s="11"/>
      <c r="PJU37" s="11"/>
      <c r="PJV37" s="11"/>
      <c r="PJW37" s="11"/>
      <c r="PJX37" s="11"/>
      <c r="PJY37" s="11"/>
      <c r="PJZ37" s="11"/>
      <c r="PKA37" s="11"/>
      <c r="PKB37" s="11"/>
      <c r="PKC37" s="11"/>
      <c r="PKD37" s="11"/>
      <c r="PKE37" s="11"/>
      <c r="PKF37" s="11"/>
      <c r="PKG37" s="11"/>
      <c r="PKH37" s="11"/>
      <c r="PKI37" s="11"/>
      <c r="PKJ37" s="11"/>
      <c r="PKK37" s="11"/>
      <c r="PKL37" s="11"/>
      <c r="PKM37" s="11"/>
      <c r="PKN37" s="11"/>
      <c r="PKO37" s="11"/>
      <c r="PKP37" s="11"/>
      <c r="PKQ37" s="11"/>
      <c r="PKR37" s="11"/>
      <c r="PKS37" s="11"/>
      <c r="PKT37" s="11"/>
      <c r="PKU37" s="11"/>
      <c r="PKV37" s="11"/>
      <c r="PKW37" s="11"/>
      <c r="PKX37" s="11"/>
      <c r="PKY37" s="11"/>
      <c r="PKZ37" s="11"/>
      <c r="PLA37" s="11"/>
      <c r="PLB37" s="11"/>
      <c r="PLC37" s="11"/>
      <c r="PLD37" s="11"/>
      <c r="PLE37" s="11"/>
      <c r="PLF37" s="11"/>
      <c r="PLG37" s="11"/>
      <c r="PLH37" s="11"/>
      <c r="PLI37" s="11"/>
      <c r="PLJ37" s="11"/>
      <c r="PLK37" s="11"/>
      <c r="PLL37" s="11"/>
      <c r="PLM37" s="11"/>
      <c r="PLN37" s="11"/>
      <c r="PLO37" s="11"/>
      <c r="PLP37" s="11"/>
      <c r="PLQ37" s="11"/>
      <c r="PLR37" s="11"/>
      <c r="PLS37" s="11"/>
      <c r="PLT37" s="11"/>
      <c r="PLU37" s="11"/>
      <c r="PLV37" s="11"/>
      <c r="PLW37" s="11"/>
      <c r="PLX37" s="11"/>
      <c r="PLY37" s="11"/>
      <c r="PLZ37" s="11"/>
      <c r="PMA37" s="11"/>
      <c r="PMB37" s="11"/>
      <c r="PMC37" s="11"/>
      <c r="PMD37" s="11"/>
      <c r="PME37" s="11"/>
      <c r="PMF37" s="11"/>
      <c r="PMG37" s="11"/>
      <c r="PMH37" s="11"/>
      <c r="PMI37" s="11"/>
      <c r="PMJ37" s="11"/>
      <c r="PMK37" s="11"/>
      <c r="PML37" s="11"/>
      <c r="PMM37" s="11"/>
      <c r="PMN37" s="11"/>
      <c r="PMO37" s="11"/>
      <c r="PMP37" s="11"/>
      <c r="PMQ37" s="11"/>
      <c r="PMR37" s="11"/>
      <c r="PMS37" s="11"/>
      <c r="PMT37" s="11"/>
      <c r="PMU37" s="11"/>
      <c r="PMV37" s="11"/>
      <c r="PMW37" s="11"/>
      <c r="PMX37" s="11"/>
      <c r="PMY37" s="11"/>
      <c r="PMZ37" s="11"/>
      <c r="PNA37" s="11"/>
      <c r="PNB37" s="11"/>
      <c r="PNC37" s="11"/>
      <c r="PND37" s="11"/>
      <c r="PNE37" s="11"/>
      <c r="PNF37" s="11"/>
      <c r="PNG37" s="11"/>
      <c r="PNH37" s="11"/>
      <c r="PNI37" s="11"/>
      <c r="PNJ37" s="11"/>
      <c r="PNK37" s="11"/>
      <c r="PNL37" s="11"/>
      <c r="PNM37" s="11"/>
      <c r="PNN37" s="11"/>
      <c r="PNO37" s="11"/>
      <c r="PNP37" s="11"/>
      <c r="PNQ37" s="11"/>
      <c r="PNR37" s="11"/>
      <c r="PNS37" s="11"/>
      <c r="PNT37" s="11"/>
      <c r="PNU37" s="11"/>
      <c r="PNV37" s="11"/>
      <c r="PNW37" s="11"/>
      <c r="PNX37" s="11"/>
      <c r="PNY37" s="11"/>
      <c r="PNZ37" s="11"/>
      <c r="POA37" s="11"/>
      <c r="POB37" s="11"/>
      <c r="POC37" s="11"/>
      <c r="POD37" s="11"/>
      <c r="POE37" s="11"/>
      <c r="POF37" s="11"/>
      <c r="POG37" s="11"/>
      <c r="POH37" s="11"/>
      <c r="POI37" s="11"/>
      <c r="POJ37" s="11"/>
      <c r="POK37" s="11"/>
      <c r="POL37" s="11"/>
      <c r="POM37" s="11"/>
      <c r="PON37" s="11"/>
      <c r="POO37" s="11"/>
      <c r="POP37" s="11"/>
      <c r="POQ37" s="11"/>
      <c r="POR37" s="11"/>
      <c r="POS37" s="11"/>
      <c r="POT37" s="11"/>
      <c r="POU37" s="11"/>
      <c r="POV37" s="11"/>
      <c r="POW37" s="11"/>
      <c r="POX37" s="11"/>
      <c r="POY37" s="11"/>
      <c r="POZ37" s="11"/>
      <c r="PPA37" s="11"/>
      <c r="PPB37" s="11"/>
      <c r="PPC37" s="11"/>
      <c r="PPD37" s="11"/>
      <c r="PPE37" s="11"/>
      <c r="PPF37" s="11"/>
      <c r="PPG37" s="11"/>
      <c r="PPH37" s="11"/>
      <c r="PPI37" s="11"/>
      <c r="PPJ37" s="11"/>
      <c r="PPK37" s="11"/>
      <c r="PPL37" s="11"/>
      <c r="PPM37" s="11"/>
      <c r="PPN37" s="11"/>
      <c r="PPO37" s="11"/>
      <c r="PPP37" s="11"/>
      <c r="PPQ37" s="11"/>
      <c r="PPR37" s="11"/>
      <c r="PPS37" s="11"/>
      <c r="PPT37" s="11"/>
      <c r="PPU37" s="11"/>
      <c r="PPV37" s="11"/>
      <c r="PPW37" s="11"/>
      <c r="PPX37" s="11"/>
      <c r="PPY37" s="11"/>
      <c r="PPZ37" s="11"/>
      <c r="PQA37" s="11"/>
      <c r="PQB37" s="11"/>
      <c r="PQC37" s="11"/>
      <c r="PQD37" s="11"/>
      <c r="PQE37" s="11"/>
      <c r="PQF37" s="11"/>
      <c r="PQG37" s="11"/>
      <c r="PQH37" s="11"/>
      <c r="PQI37" s="11"/>
      <c r="PQJ37" s="11"/>
      <c r="PQK37" s="11"/>
      <c r="PQL37" s="11"/>
      <c r="PQM37" s="11"/>
      <c r="PQN37" s="11"/>
      <c r="PQO37" s="11"/>
      <c r="PQP37" s="11"/>
      <c r="PQQ37" s="11"/>
      <c r="PQR37" s="11"/>
      <c r="PQS37" s="11"/>
      <c r="PQT37" s="11"/>
      <c r="PQU37" s="11"/>
      <c r="PQV37" s="11"/>
      <c r="PQW37" s="11"/>
      <c r="PQX37" s="11"/>
      <c r="PQY37" s="11"/>
      <c r="PQZ37" s="11"/>
      <c r="PRA37" s="11"/>
      <c r="PRB37" s="11"/>
      <c r="PRC37" s="11"/>
      <c r="PRD37" s="11"/>
      <c r="PRE37" s="11"/>
      <c r="PRF37" s="11"/>
      <c r="PRG37" s="11"/>
      <c r="PRH37" s="11"/>
      <c r="PRI37" s="11"/>
      <c r="PRJ37" s="11"/>
      <c r="PRK37" s="11"/>
      <c r="PRL37" s="11"/>
      <c r="PRM37" s="11"/>
      <c r="PRN37" s="11"/>
      <c r="PRO37" s="11"/>
      <c r="PRP37" s="11"/>
      <c r="PRQ37" s="11"/>
      <c r="PRR37" s="11"/>
      <c r="PRS37" s="11"/>
      <c r="PRT37" s="11"/>
      <c r="PRU37" s="11"/>
      <c r="PRV37" s="11"/>
      <c r="PRW37" s="11"/>
      <c r="PRX37" s="11"/>
      <c r="PRY37" s="11"/>
      <c r="PRZ37" s="11"/>
      <c r="PSA37" s="11"/>
      <c r="PSB37" s="11"/>
      <c r="PSC37" s="11"/>
      <c r="PSD37" s="11"/>
      <c r="PSE37" s="11"/>
      <c r="PSF37" s="11"/>
      <c r="PSG37" s="11"/>
      <c r="PSH37" s="11"/>
      <c r="PSI37" s="11"/>
      <c r="PSJ37" s="11"/>
      <c r="PSK37" s="11"/>
      <c r="PSL37" s="11"/>
      <c r="PSM37" s="11"/>
      <c r="PSN37" s="11"/>
      <c r="PSO37" s="11"/>
      <c r="PSP37" s="11"/>
      <c r="PSQ37" s="11"/>
      <c r="PSR37" s="11"/>
      <c r="PSS37" s="11"/>
      <c r="PST37" s="11"/>
      <c r="PSU37" s="11"/>
      <c r="PSV37" s="11"/>
      <c r="PSW37" s="11"/>
      <c r="PSX37" s="11"/>
      <c r="PSY37" s="11"/>
      <c r="PSZ37" s="11"/>
      <c r="PTA37" s="11"/>
      <c r="PTB37" s="11"/>
      <c r="PTC37" s="11"/>
      <c r="PTD37" s="11"/>
      <c r="PTE37" s="11"/>
      <c r="PTF37" s="11"/>
      <c r="PTG37" s="11"/>
      <c r="PTH37" s="11"/>
      <c r="PTI37" s="11"/>
      <c r="PTJ37" s="11"/>
      <c r="PTK37" s="11"/>
      <c r="PTL37" s="11"/>
      <c r="PTM37" s="11"/>
      <c r="PTN37" s="11"/>
      <c r="PTO37" s="11"/>
      <c r="PTP37" s="11"/>
      <c r="PTQ37" s="11"/>
      <c r="PTR37" s="11"/>
      <c r="PTS37" s="11"/>
      <c r="PTT37" s="11"/>
      <c r="PTU37" s="11"/>
      <c r="PTV37" s="11"/>
      <c r="PTW37" s="11"/>
      <c r="PTX37" s="11"/>
      <c r="PTY37" s="11"/>
      <c r="PTZ37" s="11"/>
      <c r="PUA37" s="11"/>
      <c r="PUB37" s="11"/>
      <c r="PUC37" s="11"/>
      <c r="PUD37" s="11"/>
      <c r="PUE37" s="11"/>
      <c r="PUF37" s="11"/>
      <c r="PUG37" s="11"/>
      <c r="PUH37" s="11"/>
      <c r="PUI37" s="11"/>
      <c r="PUJ37" s="11"/>
      <c r="PUK37" s="11"/>
      <c r="PUL37" s="11"/>
      <c r="PUM37" s="11"/>
      <c r="PUN37" s="11"/>
      <c r="PUO37" s="11"/>
      <c r="PUP37" s="11"/>
      <c r="PUQ37" s="11"/>
      <c r="PUR37" s="11"/>
      <c r="PUS37" s="11"/>
      <c r="PUT37" s="11"/>
      <c r="PUU37" s="11"/>
      <c r="PUV37" s="11"/>
      <c r="PUW37" s="11"/>
      <c r="PUX37" s="11"/>
      <c r="PUY37" s="11"/>
      <c r="PUZ37" s="11"/>
      <c r="PVA37" s="11"/>
      <c r="PVB37" s="11"/>
      <c r="PVC37" s="11"/>
      <c r="PVD37" s="11"/>
      <c r="PVE37" s="11"/>
      <c r="PVF37" s="11"/>
      <c r="PVG37" s="11"/>
      <c r="PVH37" s="11"/>
      <c r="PVI37" s="11"/>
      <c r="PVJ37" s="11"/>
      <c r="PVK37" s="11"/>
      <c r="PVL37" s="11"/>
      <c r="PVM37" s="11"/>
      <c r="PVN37" s="11"/>
      <c r="PVO37" s="11"/>
      <c r="PVP37" s="11"/>
      <c r="PVQ37" s="11"/>
      <c r="PVR37" s="11"/>
      <c r="PVS37" s="11"/>
      <c r="PVT37" s="11"/>
      <c r="PVU37" s="11"/>
      <c r="PVV37" s="11"/>
      <c r="PVW37" s="11"/>
      <c r="PVX37" s="11"/>
      <c r="PVY37" s="11"/>
      <c r="PVZ37" s="11"/>
      <c r="PWA37" s="11"/>
      <c r="PWB37" s="11"/>
      <c r="PWC37" s="11"/>
      <c r="PWD37" s="11"/>
      <c r="PWE37" s="11"/>
      <c r="PWF37" s="11"/>
      <c r="PWG37" s="11"/>
      <c r="PWH37" s="11"/>
      <c r="PWI37" s="11"/>
      <c r="PWJ37" s="11"/>
      <c r="PWK37" s="11"/>
      <c r="PWL37" s="11"/>
      <c r="PWM37" s="11"/>
      <c r="PWN37" s="11"/>
      <c r="PWO37" s="11"/>
      <c r="PWP37" s="11"/>
      <c r="PWQ37" s="11"/>
      <c r="PWR37" s="11"/>
      <c r="PWS37" s="11"/>
      <c r="PWT37" s="11"/>
      <c r="PWU37" s="11"/>
      <c r="PWV37" s="11"/>
      <c r="PWW37" s="11"/>
      <c r="PWX37" s="11"/>
      <c r="PWY37" s="11"/>
      <c r="PWZ37" s="11"/>
      <c r="PXA37" s="11"/>
      <c r="PXB37" s="11"/>
      <c r="PXC37" s="11"/>
      <c r="PXD37" s="11"/>
      <c r="PXE37" s="11"/>
      <c r="PXF37" s="11"/>
      <c r="PXG37" s="11"/>
      <c r="PXH37" s="11"/>
      <c r="PXI37" s="11"/>
      <c r="PXJ37" s="11"/>
      <c r="PXK37" s="11"/>
      <c r="PXL37" s="11"/>
      <c r="PXM37" s="11"/>
      <c r="PXN37" s="11"/>
      <c r="PXO37" s="11"/>
      <c r="PXP37" s="11"/>
      <c r="PXQ37" s="11"/>
      <c r="PXR37" s="11"/>
      <c r="PXS37" s="11"/>
      <c r="PXT37" s="11"/>
      <c r="PXU37" s="11"/>
      <c r="PXV37" s="11"/>
      <c r="PXW37" s="11"/>
      <c r="PXX37" s="11"/>
      <c r="PXY37" s="11"/>
      <c r="PXZ37" s="11"/>
      <c r="PYA37" s="11"/>
      <c r="PYB37" s="11"/>
      <c r="PYC37" s="11"/>
      <c r="PYD37" s="11"/>
      <c r="PYE37" s="11"/>
      <c r="PYF37" s="11"/>
      <c r="PYG37" s="11"/>
      <c r="PYH37" s="11"/>
      <c r="PYI37" s="11"/>
      <c r="PYJ37" s="11"/>
      <c r="PYK37" s="11"/>
      <c r="PYL37" s="11"/>
      <c r="PYM37" s="11"/>
      <c r="PYN37" s="11"/>
      <c r="PYO37" s="11"/>
      <c r="PYP37" s="11"/>
      <c r="PYQ37" s="11"/>
      <c r="PYR37" s="11"/>
      <c r="PYS37" s="11"/>
      <c r="PYT37" s="11"/>
      <c r="PYU37" s="11"/>
      <c r="PYV37" s="11"/>
      <c r="PYW37" s="11"/>
      <c r="PYX37" s="11"/>
      <c r="PYY37" s="11"/>
      <c r="PYZ37" s="11"/>
      <c r="PZA37" s="11"/>
      <c r="PZB37" s="11"/>
      <c r="PZC37" s="11"/>
      <c r="PZD37" s="11"/>
      <c r="PZE37" s="11"/>
      <c r="PZF37" s="11"/>
      <c r="PZG37" s="11"/>
      <c r="PZH37" s="11"/>
      <c r="PZI37" s="11"/>
      <c r="PZJ37" s="11"/>
      <c r="PZK37" s="11"/>
      <c r="PZL37" s="11"/>
      <c r="PZM37" s="11"/>
      <c r="PZN37" s="11"/>
      <c r="PZO37" s="11"/>
      <c r="PZP37" s="11"/>
      <c r="PZQ37" s="11"/>
      <c r="PZR37" s="11"/>
      <c r="PZS37" s="11"/>
      <c r="PZT37" s="11"/>
      <c r="PZU37" s="11"/>
      <c r="PZV37" s="11"/>
      <c r="PZW37" s="11"/>
      <c r="PZX37" s="11"/>
      <c r="PZY37" s="11"/>
      <c r="PZZ37" s="11"/>
      <c r="QAA37" s="11"/>
      <c r="QAB37" s="11"/>
      <c r="QAC37" s="11"/>
      <c r="QAD37" s="11"/>
      <c r="QAE37" s="11"/>
      <c r="QAF37" s="11"/>
      <c r="QAG37" s="11"/>
      <c r="QAH37" s="11"/>
      <c r="QAI37" s="11"/>
      <c r="QAJ37" s="11"/>
      <c r="QAK37" s="11"/>
      <c r="QAL37" s="11"/>
      <c r="QAM37" s="11"/>
      <c r="QAN37" s="11"/>
      <c r="QAO37" s="11"/>
      <c r="QAP37" s="11"/>
      <c r="QAQ37" s="11"/>
      <c r="QAR37" s="11"/>
      <c r="QAS37" s="11"/>
      <c r="QAT37" s="11"/>
      <c r="QAU37" s="11"/>
      <c r="QAV37" s="11"/>
      <c r="QAW37" s="11"/>
      <c r="QAX37" s="11"/>
      <c r="QAY37" s="11"/>
      <c r="QAZ37" s="11"/>
      <c r="QBA37" s="11"/>
      <c r="QBB37" s="11"/>
      <c r="QBC37" s="11"/>
      <c r="QBD37" s="11"/>
      <c r="QBE37" s="11"/>
      <c r="QBF37" s="11"/>
      <c r="QBG37" s="11"/>
      <c r="QBH37" s="11"/>
      <c r="QBI37" s="11"/>
      <c r="QBJ37" s="11"/>
      <c r="QBK37" s="11"/>
      <c r="QBL37" s="11"/>
      <c r="QBM37" s="11"/>
      <c r="QBN37" s="11"/>
      <c r="QBO37" s="11"/>
      <c r="QBP37" s="11"/>
      <c r="QBQ37" s="11"/>
      <c r="QBR37" s="11"/>
      <c r="QBS37" s="11"/>
      <c r="QBT37" s="11"/>
      <c r="QBU37" s="11"/>
      <c r="QBV37" s="11"/>
      <c r="QBW37" s="11"/>
      <c r="QBX37" s="11"/>
      <c r="QBY37" s="11"/>
      <c r="QBZ37" s="11"/>
      <c r="QCA37" s="11"/>
      <c r="QCB37" s="11"/>
      <c r="QCC37" s="11"/>
      <c r="QCD37" s="11"/>
      <c r="QCE37" s="11"/>
      <c r="QCF37" s="11"/>
      <c r="QCG37" s="11"/>
      <c r="QCH37" s="11"/>
      <c r="QCI37" s="11"/>
      <c r="QCJ37" s="11"/>
      <c r="QCK37" s="11"/>
      <c r="QCL37" s="11"/>
      <c r="QCM37" s="11"/>
      <c r="QCN37" s="11"/>
      <c r="QCO37" s="11"/>
      <c r="QCP37" s="11"/>
      <c r="QCQ37" s="11"/>
      <c r="QCR37" s="11"/>
      <c r="QCS37" s="11"/>
      <c r="QCT37" s="11"/>
      <c r="QCU37" s="11"/>
      <c r="QCV37" s="11"/>
      <c r="QCW37" s="11"/>
      <c r="QCX37" s="11"/>
      <c r="QCY37" s="11"/>
      <c r="QCZ37" s="11"/>
      <c r="QDA37" s="11"/>
      <c r="QDB37" s="11"/>
      <c r="QDC37" s="11"/>
      <c r="QDD37" s="11"/>
      <c r="QDE37" s="11"/>
      <c r="QDF37" s="11"/>
      <c r="QDG37" s="11"/>
      <c r="QDH37" s="11"/>
      <c r="QDI37" s="11"/>
      <c r="QDJ37" s="11"/>
      <c r="QDK37" s="11"/>
      <c r="QDL37" s="11"/>
      <c r="QDM37" s="11"/>
      <c r="QDN37" s="11"/>
      <c r="QDO37" s="11"/>
      <c r="QDP37" s="11"/>
      <c r="QDQ37" s="11"/>
      <c r="QDR37" s="11"/>
      <c r="QDS37" s="11"/>
      <c r="QDT37" s="11"/>
      <c r="QDU37" s="11"/>
      <c r="QDV37" s="11"/>
      <c r="QDW37" s="11"/>
      <c r="QDX37" s="11"/>
      <c r="QDY37" s="11"/>
      <c r="QDZ37" s="11"/>
      <c r="QEA37" s="11"/>
      <c r="QEB37" s="11"/>
      <c r="QEC37" s="11"/>
      <c r="QED37" s="11"/>
      <c r="QEE37" s="11"/>
      <c r="QEF37" s="11"/>
      <c r="QEG37" s="11"/>
      <c r="QEH37" s="11"/>
      <c r="QEI37" s="11"/>
      <c r="QEJ37" s="11"/>
      <c r="QEK37" s="11"/>
      <c r="QEL37" s="11"/>
      <c r="QEM37" s="11"/>
      <c r="QEN37" s="11"/>
      <c r="QEO37" s="11"/>
      <c r="QEP37" s="11"/>
      <c r="QEQ37" s="11"/>
      <c r="QER37" s="11"/>
      <c r="QES37" s="11"/>
      <c r="QET37" s="11"/>
      <c r="QEU37" s="11"/>
      <c r="QEV37" s="11"/>
      <c r="QEW37" s="11"/>
      <c r="QEX37" s="11"/>
      <c r="QEY37" s="11"/>
      <c r="QEZ37" s="11"/>
      <c r="QFA37" s="11"/>
      <c r="QFB37" s="11"/>
      <c r="QFC37" s="11"/>
      <c r="QFD37" s="11"/>
      <c r="QFE37" s="11"/>
      <c r="QFF37" s="11"/>
      <c r="QFG37" s="11"/>
      <c r="QFH37" s="11"/>
      <c r="QFI37" s="11"/>
      <c r="QFJ37" s="11"/>
      <c r="QFK37" s="11"/>
      <c r="QFL37" s="11"/>
      <c r="QFM37" s="11"/>
      <c r="QFN37" s="11"/>
      <c r="QFO37" s="11"/>
      <c r="QFP37" s="11"/>
      <c r="QFQ37" s="11"/>
      <c r="QFR37" s="11"/>
      <c r="QFS37" s="11"/>
      <c r="QFT37" s="11"/>
      <c r="QFU37" s="11"/>
      <c r="QFV37" s="11"/>
      <c r="QFW37" s="11"/>
      <c r="QFX37" s="11"/>
      <c r="QFY37" s="11"/>
      <c r="QFZ37" s="11"/>
      <c r="QGA37" s="11"/>
      <c r="QGB37" s="11"/>
      <c r="QGC37" s="11"/>
      <c r="QGD37" s="11"/>
      <c r="QGE37" s="11"/>
      <c r="QGF37" s="11"/>
      <c r="QGG37" s="11"/>
      <c r="QGH37" s="11"/>
      <c r="QGI37" s="11"/>
      <c r="QGJ37" s="11"/>
      <c r="QGK37" s="11"/>
      <c r="QGL37" s="11"/>
      <c r="QGM37" s="11"/>
      <c r="QGN37" s="11"/>
      <c r="QGO37" s="11"/>
      <c r="QGP37" s="11"/>
      <c r="QGQ37" s="11"/>
      <c r="QGR37" s="11"/>
      <c r="QGS37" s="11"/>
      <c r="QGT37" s="11"/>
      <c r="QGU37" s="11"/>
      <c r="QGV37" s="11"/>
      <c r="QGW37" s="11"/>
      <c r="QGX37" s="11"/>
      <c r="QGY37" s="11"/>
      <c r="QGZ37" s="11"/>
      <c r="QHA37" s="11"/>
      <c r="QHB37" s="11"/>
      <c r="QHC37" s="11"/>
      <c r="QHD37" s="11"/>
      <c r="QHE37" s="11"/>
      <c r="QHF37" s="11"/>
      <c r="QHG37" s="11"/>
      <c r="QHH37" s="11"/>
      <c r="QHI37" s="11"/>
      <c r="QHJ37" s="11"/>
      <c r="QHK37" s="11"/>
      <c r="QHL37" s="11"/>
      <c r="QHM37" s="11"/>
      <c r="QHN37" s="11"/>
      <c r="QHO37" s="11"/>
      <c r="QHP37" s="11"/>
      <c r="QHQ37" s="11"/>
      <c r="QHR37" s="11"/>
      <c r="QHS37" s="11"/>
      <c r="QHT37" s="11"/>
      <c r="QHU37" s="11"/>
      <c r="QHV37" s="11"/>
      <c r="QHW37" s="11"/>
      <c r="QHX37" s="11"/>
      <c r="QHY37" s="11"/>
      <c r="QHZ37" s="11"/>
      <c r="QIA37" s="11"/>
      <c r="QIB37" s="11"/>
      <c r="QIC37" s="11"/>
      <c r="QID37" s="11"/>
      <c r="QIE37" s="11"/>
      <c r="QIF37" s="11"/>
      <c r="QIG37" s="11"/>
      <c r="QIH37" s="11"/>
      <c r="QII37" s="11"/>
      <c r="QIJ37" s="11"/>
      <c r="QIK37" s="11"/>
      <c r="QIL37" s="11"/>
      <c r="QIM37" s="11"/>
      <c r="QIN37" s="11"/>
      <c r="QIO37" s="11"/>
      <c r="QIP37" s="11"/>
      <c r="QIQ37" s="11"/>
      <c r="QIR37" s="11"/>
      <c r="QIS37" s="11"/>
      <c r="QIT37" s="11"/>
      <c r="QIU37" s="11"/>
      <c r="QIV37" s="11"/>
      <c r="QIW37" s="11"/>
      <c r="QIX37" s="11"/>
      <c r="QIY37" s="11"/>
      <c r="QIZ37" s="11"/>
      <c r="QJA37" s="11"/>
      <c r="QJB37" s="11"/>
      <c r="QJC37" s="11"/>
      <c r="QJD37" s="11"/>
      <c r="QJE37" s="11"/>
      <c r="QJF37" s="11"/>
      <c r="QJG37" s="11"/>
      <c r="QJH37" s="11"/>
      <c r="QJI37" s="11"/>
      <c r="QJJ37" s="11"/>
      <c r="QJK37" s="11"/>
      <c r="QJL37" s="11"/>
      <c r="QJM37" s="11"/>
      <c r="QJN37" s="11"/>
      <c r="QJO37" s="11"/>
      <c r="QJP37" s="11"/>
      <c r="QJQ37" s="11"/>
      <c r="QJR37" s="11"/>
      <c r="QJS37" s="11"/>
      <c r="QJT37" s="11"/>
      <c r="QJU37" s="11"/>
      <c r="QJV37" s="11"/>
      <c r="QJW37" s="11"/>
      <c r="QJX37" s="11"/>
      <c r="QJY37" s="11"/>
      <c r="QJZ37" s="11"/>
      <c r="QKA37" s="11"/>
      <c r="QKB37" s="11"/>
      <c r="QKC37" s="11"/>
      <c r="QKD37" s="11"/>
      <c r="QKE37" s="11"/>
      <c r="QKF37" s="11"/>
      <c r="QKG37" s="11"/>
      <c r="QKH37" s="11"/>
      <c r="QKI37" s="11"/>
      <c r="QKJ37" s="11"/>
      <c r="QKK37" s="11"/>
      <c r="QKL37" s="11"/>
      <c r="QKM37" s="11"/>
      <c r="QKN37" s="11"/>
      <c r="QKO37" s="11"/>
      <c r="QKP37" s="11"/>
      <c r="QKQ37" s="11"/>
      <c r="QKR37" s="11"/>
      <c r="QKS37" s="11"/>
      <c r="QKT37" s="11"/>
      <c r="QKU37" s="11"/>
      <c r="QKV37" s="11"/>
      <c r="QKW37" s="11"/>
      <c r="QKX37" s="11"/>
      <c r="QKY37" s="11"/>
      <c r="QKZ37" s="11"/>
      <c r="QLA37" s="11"/>
      <c r="QLB37" s="11"/>
      <c r="QLC37" s="11"/>
      <c r="QLD37" s="11"/>
      <c r="QLE37" s="11"/>
      <c r="QLF37" s="11"/>
      <c r="QLG37" s="11"/>
      <c r="QLH37" s="11"/>
      <c r="QLI37" s="11"/>
      <c r="QLJ37" s="11"/>
      <c r="QLK37" s="11"/>
      <c r="QLL37" s="11"/>
      <c r="QLM37" s="11"/>
      <c r="QLN37" s="11"/>
      <c r="QLO37" s="11"/>
      <c r="QLP37" s="11"/>
      <c r="QLQ37" s="11"/>
      <c r="QLR37" s="11"/>
      <c r="QLS37" s="11"/>
      <c r="QLT37" s="11"/>
      <c r="QLU37" s="11"/>
      <c r="QLV37" s="11"/>
      <c r="QLW37" s="11"/>
      <c r="QLX37" s="11"/>
      <c r="QLY37" s="11"/>
      <c r="QLZ37" s="11"/>
      <c r="QMA37" s="11"/>
      <c r="QMB37" s="11"/>
      <c r="QMC37" s="11"/>
      <c r="QMD37" s="11"/>
      <c r="QME37" s="11"/>
      <c r="QMF37" s="11"/>
      <c r="QMG37" s="11"/>
      <c r="QMH37" s="11"/>
      <c r="QMI37" s="11"/>
      <c r="QMJ37" s="11"/>
      <c r="QMK37" s="11"/>
      <c r="QML37" s="11"/>
      <c r="QMM37" s="11"/>
      <c r="QMN37" s="11"/>
      <c r="QMO37" s="11"/>
      <c r="QMP37" s="11"/>
      <c r="QMQ37" s="11"/>
      <c r="QMR37" s="11"/>
      <c r="QMS37" s="11"/>
      <c r="QMT37" s="11"/>
      <c r="QMU37" s="11"/>
      <c r="QMV37" s="11"/>
      <c r="QMW37" s="11"/>
      <c r="QMX37" s="11"/>
      <c r="QMY37" s="11"/>
      <c r="QMZ37" s="11"/>
      <c r="QNA37" s="11"/>
      <c r="QNB37" s="11"/>
      <c r="QNC37" s="11"/>
      <c r="QND37" s="11"/>
      <c r="QNE37" s="11"/>
      <c r="QNF37" s="11"/>
      <c r="QNG37" s="11"/>
      <c r="QNH37" s="11"/>
      <c r="QNI37" s="11"/>
      <c r="QNJ37" s="11"/>
      <c r="QNK37" s="11"/>
      <c r="QNL37" s="11"/>
      <c r="QNM37" s="11"/>
      <c r="QNN37" s="11"/>
      <c r="QNO37" s="11"/>
      <c r="QNP37" s="11"/>
      <c r="QNQ37" s="11"/>
      <c r="QNR37" s="11"/>
      <c r="QNS37" s="11"/>
      <c r="QNT37" s="11"/>
      <c r="QNU37" s="11"/>
      <c r="QNV37" s="11"/>
      <c r="QNW37" s="11"/>
      <c r="QNX37" s="11"/>
      <c r="QNY37" s="11"/>
      <c r="QNZ37" s="11"/>
      <c r="QOA37" s="11"/>
      <c r="QOB37" s="11"/>
      <c r="QOC37" s="11"/>
      <c r="QOD37" s="11"/>
      <c r="QOE37" s="11"/>
      <c r="QOF37" s="11"/>
      <c r="QOG37" s="11"/>
      <c r="QOH37" s="11"/>
      <c r="QOI37" s="11"/>
      <c r="QOJ37" s="11"/>
      <c r="QOK37" s="11"/>
      <c r="QOL37" s="11"/>
      <c r="QOM37" s="11"/>
      <c r="QON37" s="11"/>
      <c r="QOO37" s="11"/>
      <c r="QOP37" s="11"/>
      <c r="QOQ37" s="11"/>
      <c r="QOR37" s="11"/>
      <c r="QOS37" s="11"/>
      <c r="QOT37" s="11"/>
      <c r="QOU37" s="11"/>
      <c r="QOV37" s="11"/>
      <c r="QOW37" s="11"/>
      <c r="QOX37" s="11"/>
      <c r="QOY37" s="11"/>
      <c r="QOZ37" s="11"/>
      <c r="QPA37" s="11"/>
      <c r="QPB37" s="11"/>
      <c r="QPC37" s="11"/>
      <c r="QPD37" s="11"/>
      <c r="QPE37" s="11"/>
      <c r="QPF37" s="11"/>
      <c r="QPG37" s="11"/>
      <c r="QPH37" s="11"/>
      <c r="QPI37" s="11"/>
      <c r="QPJ37" s="11"/>
      <c r="QPK37" s="11"/>
      <c r="QPL37" s="11"/>
      <c r="QPM37" s="11"/>
      <c r="QPN37" s="11"/>
      <c r="QPO37" s="11"/>
      <c r="QPP37" s="11"/>
      <c r="QPQ37" s="11"/>
      <c r="QPR37" s="11"/>
      <c r="QPS37" s="11"/>
      <c r="QPT37" s="11"/>
      <c r="QPU37" s="11"/>
      <c r="QPV37" s="11"/>
      <c r="QPW37" s="11"/>
      <c r="QPX37" s="11"/>
      <c r="QPY37" s="11"/>
      <c r="QPZ37" s="11"/>
      <c r="QQA37" s="11"/>
      <c r="QQB37" s="11"/>
      <c r="QQC37" s="11"/>
      <c r="QQD37" s="11"/>
      <c r="QQE37" s="11"/>
      <c r="QQF37" s="11"/>
      <c r="QQG37" s="11"/>
      <c r="QQH37" s="11"/>
      <c r="QQI37" s="11"/>
      <c r="QQJ37" s="11"/>
      <c r="QQK37" s="11"/>
      <c r="QQL37" s="11"/>
      <c r="QQM37" s="11"/>
      <c r="QQN37" s="11"/>
      <c r="QQO37" s="11"/>
      <c r="QQP37" s="11"/>
      <c r="QQQ37" s="11"/>
      <c r="QQR37" s="11"/>
      <c r="QQS37" s="11"/>
      <c r="QQT37" s="11"/>
      <c r="QQU37" s="11"/>
      <c r="QQV37" s="11"/>
      <c r="QQW37" s="11"/>
      <c r="QQX37" s="11"/>
      <c r="QQY37" s="11"/>
      <c r="QQZ37" s="11"/>
      <c r="QRA37" s="11"/>
      <c r="QRB37" s="11"/>
      <c r="QRC37" s="11"/>
      <c r="QRD37" s="11"/>
      <c r="QRE37" s="11"/>
      <c r="QRF37" s="11"/>
      <c r="QRG37" s="11"/>
      <c r="QRH37" s="11"/>
      <c r="QRI37" s="11"/>
      <c r="QRJ37" s="11"/>
      <c r="QRK37" s="11"/>
      <c r="QRL37" s="11"/>
      <c r="QRM37" s="11"/>
      <c r="QRN37" s="11"/>
      <c r="QRO37" s="11"/>
      <c r="QRP37" s="11"/>
      <c r="QRQ37" s="11"/>
      <c r="QRR37" s="11"/>
      <c r="QRS37" s="11"/>
      <c r="QRT37" s="11"/>
      <c r="QRU37" s="11"/>
      <c r="QRV37" s="11"/>
      <c r="QRW37" s="11"/>
      <c r="QRX37" s="11"/>
      <c r="QRY37" s="11"/>
      <c r="QRZ37" s="11"/>
      <c r="QSA37" s="11"/>
      <c r="QSB37" s="11"/>
      <c r="QSC37" s="11"/>
      <c r="QSD37" s="11"/>
      <c r="QSE37" s="11"/>
      <c r="QSF37" s="11"/>
      <c r="QSG37" s="11"/>
      <c r="QSH37" s="11"/>
      <c r="QSI37" s="11"/>
      <c r="QSJ37" s="11"/>
      <c r="QSK37" s="11"/>
      <c r="QSL37" s="11"/>
      <c r="QSM37" s="11"/>
      <c r="QSN37" s="11"/>
      <c r="QSO37" s="11"/>
      <c r="QSP37" s="11"/>
      <c r="QSQ37" s="11"/>
      <c r="QSR37" s="11"/>
      <c r="QSS37" s="11"/>
      <c r="QST37" s="11"/>
      <c r="QSU37" s="11"/>
      <c r="QSV37" s="11"/>
      <c r="QSW37" s="11"/>
      <c r="QSX37" s="11"/>
      <c r="QSY37" s="11"/>
      <c r="QSZ37" s="11"/>
      <c r="QTA37" s="11"/>
      <c r="QTB37" s="11"/>
      <c r="QTC37" s="11"/>
      <c r="QTD37" s="11"/>
      <c r="QTE37" s="11"/>
      <c r="QTF37" s="11"/>
      <c r="QTG37" s="11"/>
      <c r="QTH37" s="11"/>
      <c r="QTI37" s="11"/>
      <c r="QTJ37" s="11"/>
      <c r="QTK37" s="11"/>
      <c r="QTL37" s="11"/>
      <c r="QTM37" s="11"/>
      <c r="QTN37" s="11"/>
      <c r="QTO37" s="11"/>
      <c r="QTP37" s="11"/>
      <c r="QTQ37" s="11"/>
      <c r="QTR37" s="11"/>
      <c r="QTS37" s="11"/>
      <c r="QTT37" s="11"/>
      <c r="QTU37" s="11"/>
      <c r="QTV37" s="11"/>
      <c r="QTW37" s="11"/>
      <c r="QTX37" s="11"/>
      <c r="QTY37" s="11"/>
      <c r="QTZ37" s="11"/>
      <c r="QUA37" s="11"/>
      <c r="QUB37" s="11"/>
      <c r="QUC37" s="11"/>
      <c r="QUD37" s="11"/>
      <c r="QUE37" s="11"/>
      <c r="QUF37" s="11"/>
      <c r="QUG37" s="11"/>
      <c r="QUH37" s="11"/>
      <c r="QUI37" s="11"/>
      <c r="QUJ37" s="11"/>
      <c r="QUK37" s="11"/>
      <c r="QUL37" s="11"/>
      <c r="QUM37" s="11"/>
      <c r="QUN37" s="11"/>
      <c r="QUO37" s="11"/>
      <c r="QUP37" s="11"/>
      <c r="QUQ37" s="11"/>
      <c r="QUR37" s="11"/>
      <c r="QUS37" s="11"/>
      <c r="QUT37" s="11"/>
      <c r="QUU37" s="11"/>
      <c r="QUV37" s="11"/>
      <c r="QUW37" s="11"/>
      <c r="QUX37" s="11"/>
      <c r="QUY37" s="11"/>
      <c r="QUZ37" s="11"/>
      <c r="QVA37" s="11"/>
      <c r="QVB37" s="11"/>
      <c r="QVC37" s="11"/>
      <c r="QVD37" s="11"/>
      <c r="QVE37" s="11"/>
      <c r="QVF37" s="11"/>
      <c r="QVG37" s="11"/>
      <c r="QVH37" s="11"/>
      <c r="QVI37" s="11"/>
      <c r="QVJ37" s="11"/>
      <c r="QVK37" s="11"/>
      <c r="QVL37" s="11"/>
      <c r="QVM37" s="11"/>
      <c r="QVN37" s="11"/>
      <c r="QVO37" s="11"/>
      <c r="QVP37" s="11"/>
      <c r="QVQ37" s="11"/>
      <c r="QVR37" s="11"/>
      <c r="QVS37" s="11"/>
      <c r="QVT37" s="11"/>
      <c r="QVU37" s="11"/>
      <c r="QVV37" s="11"/>
      <c r="QVW37" s="11"/>
      <c r="QVX37" s="11"/>
      <c r="QVY37" s="11"/>
      <c r="QVZ37" s="11"/>
      <c r="QWA37" s="11"/>
      <c r="QWB37" s="11"/>
      <c r="QWC37" s="11"/>
      <c r="QWD37" s="11"/>
      <c r="QWE37" s="11"/>
      <c r="QWF37" s="11"/>
      <c r="QWG37" s="11"/>
      <c r="QWH37" s="11"/>
      <c r="QWI37" s="11"/>
      <c r="QWJ37" s="11"/>
      <c r="QWK37" s="11"/>
      <c r="QWL37" s="11"/>
      <c r="QWM37" s="11"/>
      <c r="QWN37" s="11"/>
      <c r="QWO37" s="11"/>
      <c r="QWP37" s="11"/>
      <c r="QWQ37" s="11"/>
      <c r="QWR37" s="11"/>
      <c r="QWS37" s="11"/>
      <c r="QWT37" s="11"/>
      <c r="QWU37" s="11"/>
      <c r="QWV37" s="11"/>
      <c r="QWW37" s="11"/>
      <c r="QWX37" s="11"/>
      <c r="QWY37" s="11"/>
      <c r="QWZ37" s="11"/>
      <c r="QXA37" s="11"/>
      <c r="QXB37" s="11"/>
      <c r="QXC37" s="11"/>
      <c r="QXD37" s="11"/>
      <c r="QXE37" s="11"/>
      <c r="QXF37" s="11"/>
      <c r="QXG37" s="11"/>
      <c r="QXH37" s="11"/>
      <c r="QXI37" s="11"/>
      <c r="QXJ37" s="11"/>
      <c r="QXK37" s="11"/>
      <c r="QXL37" s="11"/>
      <c r="QXM37" s="11"/>
      <c r="QXN37" s="11"/>
      <c r="QXO37" s="11"/>
      <c r="QXP37" s="11"/>
      <c r="QXQ37" s="11"/>
      <c r="QXR37" s="11"/>
      <c r="QXS37" s="11"/>
      <c r="QXT37" s="11"/>
      <c r="QXU37" s="11"/>
      <c r="QXV37" s="11"/>
      <c r="QXW37" s="11"/>
      <c r="QXX37" s="11"/>
      <c r="QXY37" s="11"/>
      <c r="QXZ37" s="11"/>
      <c r="QYA37" s="11"/>
      <c r="QYB37" s="11"/>
      <c r="QYC37" s="11"/>
      <c r="QYD37" s="11"/>
      <c r="QYE37" s="11"/>
      <c r="QYF37" s="11"/>
      <c r="QYG37" s="11"/>
      <c r="QYH37" s="11"/>
      <c r="QYI37" s="11"/>
      <c r="QYJ37" s="11"/>
      <c r="QYK37" s="11"/>
      <c r="QYL37" s="11"/>
      <c r="QYM37" s="11"/>
      <c r="QYN37" s="11"/>
      <c r="QYO37" s="11"/>
      <c r="QYP37" s="11"/>
      <c r="QYQ37" s="11"/>
      <c r="QYR37" s="11"/>
      <c r="QYS37" s="11"/>
      <c r="QYT37" s="11"/>
      <c r="QYU37" s="11"/>
      <c r="QYV37" s="11"/>
      <c r="QYW37" s="11"/>
      <c r="QYX37" s="11"/>
      <c r="QYY37" s="11"/>
      <c r="QYZ37" s="11"/>
      <c r="QZA37" s="11"/>
      <c r="QZB37" s="11"/>
      <c r="QZC37" s="11"/>
      <c r="QZD37" s="11"/>
      <c r="QZE37" s="11"/>
      <c r="QZF37" s="11"/>
      <c r="QZG37" s="11"/>
      <c r="QZH37" s="11"/>
      <c r="QZI37" s="11"/>
      <c r="QZJ37" s="11"/>
      <c r="QZK37" s="11"/>
      <c r="QZL37" s="11"/>
      <c r="QZM37" s="11"/>
      <c r="QZN37" s="11"/>
      <c r="QZO37" s="11"/>
      <c r="QZP37" s="11"/>
      <c r="QZQ37" s="11"/>
      <c r="QZR37" s="11"/>
      <c r="QZS37" s="11"/>
      <c r="QZT37" s="11"/>
      <c r="QZU37" s="11"/>
      <c r="QZV37" s="11"/>
      <c r="QZW37" s="11"/>
      <c r="QZX37" s="11"/>
      <c r="QZY37" s="11"/>
      <c r="QZZ37" s="11"/>
      <c r="RAA37" s="11"/>
      <c r="RAB37" s="11"/>
      <c r="RAC37" s="11"/>
      <c r="RAD37" s="11"/>
      <c r="RAE37" s="11"/>
      <c r="RAF37" s="11"/>
      <c r="RAG37" s="11"/>
      <c r="RAH37" s="11"/>
      <c r="RAI37" s="11"/>
      <c r="RAJ37" s="11"/>
      <c r="RAK37" s="11"/>
      <c r="RAL37" s="11"/>
      <c r="RAM37" s="11"/>
      <c r="RAN37" s="11"/>
      <c r="RAO37" s="11"/>
      <c r="RAP37" s="11"/>
      <c r="RAQ37" s="11"/>
      <c r="RAR37" s="11"/>
      <c r="RAS37" s="11"/>
      <c r="RAT37" s="11"/>
      <c r="RAU37" s="11"/>
      <c r="RAV37" s="11"/>
      <c r="RAW37" s="11"/>
      <c r="RAX37" s="11"/>
      <c r="RAY37" s="11"/>
      <c r="RAZ37" s="11"/>
      <c r="RBA37" s="11"/>
      <c r="RBB37" s="11"/>
      <c r="RBC37" s="11"/>
      <c r="RBD37" s="11"/>
      <c r="RBE37" s="11"/>
      <c r="RBF37" s="11"/>
      <c r="RBG37" s="11"/>
      <c r="RBH37" s="11"/>
      <c r="RBI37" s="11"/>
      <c r="RBJ37" s="11"/>
      <c r="RBK37" s="11"/>
      <c r="RBL37" s="11"/>
      <c r="RBM37" s="11"/>
      <c r="RBN37" s="11"/>
      <c r="RBO37" s="11"/>
      <c r="RBP37" s="11"/>
      <c r="RBQ37" s="11"/>
      <c r="RBR37" s="11"/>
      <c r="RBS37" s="11"/>
      <c r="RBT37" s="11"/>
      <c r="RBU37" s="11"/>
      <c r="RBV37" s="11"/>
      <c r="RBW37" s="11"/>
      <c r="RBX37" s="11"/>
      <c r="RBY37" s="11"/>
      <c r="RBZ37" s="11"/>
      <c r="RCA37" s="11"/>
      <c r="RCB37" s="11"/>
      <c r="RCC37" s="11"/>
      <c r="RCD37" s="11"/>
      <c r="RCE37" s="11"/>
      <c r="RCF37" s="11"/>
      <c r="RCG37" s="11"/>
      <c r="RCH37" s="11"/>
      <c r="RCI37" s="11"/>
      <c r="RCJ37" s="11"/>
      <c r="RCK37" s="11"/>
      <c r="RCL37" s="11"/>
      <c r="RCM37" s="11"/>
      <c r="RCN37" s="11"/>
      <c r="RCO37" s="11"/>
      <c r="RCP37" s="11"/>
      <c r="RCQ37" s="11"/>
      <c r="RCR37" s="11"/>
      <c r="RCS37" s="11"/>
      <c r="RCT37" s="11"/>
      <c r="RCU37" s="11"/>
      <c r="RCV37" s="11"/>
      <c r="RCW37" s="11"/>
      <c r="RCX37" s="11"/>
      <c r="RCY37" s="11"/>
      <c r="RCZ37" s="11"/>
      <c r="RDA37" s="11"/>
      <c r="RDB37" s="11"/>
      <c r="RDC37" s="11"/>
      <c r="RDD37" s="11"/>
      <c r="RDE37" s="11"/>
      <c r="RDF37" s="11"/>
      <c r="RDG37" s="11"/>
      <c r="RDH37" s="11"/>
      <c r="RDI37" s="11"/>
      <c r="RDJ37" s="11"/>
      <c r="RDK37" s="11"/>
      <c r="RDL37" s="11"/>
      <c r="RDM37" s="11"/>
      <c r="RDN37" s="11"/>
      <c r="RDO37" s="11"/>
      <c r="RDP37" s="11"/>
      <c r="RDQ37" s="11"/>
      <c r="RDR37" s="11"/>
      <c r="RDS37" s="11"/>
      <c r="RDT37" s="11"/>
      <c r="RDU37" s="11"/>
      <c r="RDV37" s="11"/>
      <c r="RDW37" s="11"/>
      <c r="RDX37" s="11"/>
      <c r="RDY37" s="11"/>
      <c r="RDZ37" s="11"/>
      <c r="REA37" s="11"/>
      <c r="REB37" s="11"/>
      <c r="REC37" s="11"/>
      <c r="RED37" s="11"/>
      <c r="REE37" s="11"/>
      <c r="REF37" s="11"/>
      <c r="REG37" s="11"/>
      <c r="REH37" s="11"/>
      <c r="REI37" s="11"/>
      <c r="REJ37" s="11"/>
      <c r="REK37" s="11"/>
      <c r="REL37" s="11"/>
      <c r="REM37" s="11"/>
      <c r="REN37" s="11"/>
      <c r="REO37" s="11"/>
      <c r="REP37" s="11"/>
      <c r="REQ37" s="11"/>
      <c r="RER37" s="11"/>
      <c r="RES37" s="11"/>
      <c r="RET37" s="11"/>
      <c r="REU37" s="11"/>
      <c r="REV37" s="11"/>
      <c r="REW37" s="11"/>
      <c r="REX37" s="11"/>
      <c r="REY37" s="11"/>
      <c r="REZ37" s="11"/>
      <c r="RFA37" s="11"/>
      <c r="RFB37" s="11"/>
      <c r="RFC37" s="11"/>
      <c r="RFD37" s="11"/>
      <c r="RFE37" s="11"/>
      <c r="RFF37" s="11"/>
      <c r="RFG37" s="11"/>
      <c r="RFH37" s="11"/>
      <c r="RFI37" s="11"/>
      <c r="RFJ37" s="11"/>
      <c r="RFK37" s="11"/>
      <c r="RFL37" s="11"/>
      <c r="RFM37" s="11"/>
      <c r="RFN37" s="11"/>
      <c r="RFO37" s="11"/>
      <c r="RFP37" s="11"/>
      <c r="RFQ37" s="11"/>
      <c r="RFR37" s="11"/>
      <c r="RFS37" s="11"/>
      <c r="RFT37" s="11"/>
      <c r="RFU37" s="11"/>
      <c r="RFV37" s="11"/>
      <c r="RFW37" s="11"/>
      <c r="RFX37" s="11"/>
      <c r="RFY37" s="11"/>
      <c r="RFZ37" s="11"/>
      <c r="RGA37" s="11"/>
      <c r="RGB37" s="11"/>
      <c r="RGC37" s="11"/>
      <c r="RGD37" s="11"/>
      <c r="RGE37" s="11"/>
      <c r="RGF37" s="11"/>
      <c r="RGG37" s="11"/>
      <c r="RGH37" s="11"/>
      <c r="RGI37" s="11"/>
      <c r="RGJ37" s="11"/>
      <c r="RGK37" s="11"/>
      <c r="RGL37" s="11"/>
      <c r="RGM37" s="11"/>
      <c r="RGN37" s="11"/>
      <c r="RGO37" s="11"/>
      <c r="RGP37" s="11"/>
      <c r="RGQ37" s="11"/>
      <c r="RGR37" s="11"/>
      <c r="RGS37" s="11"/>
      <c r="RGT37" s="11"/>
      <c r="RGU37" s="11"/>
      <c r="RGV37" s="11"/>
      <c r="RGW37" s="11"/>
      <c r="RGX37" s="11"/>
      <c r="RGY37" s="11"/>
      <c r="RGZ37" s="11"/>
      <c r="RHA37" s="11"/>
      <c r="RHB37" s="11"/>
      <c r="RHC37" s="11"/>
      <c r="RHD37" s="11"/>
      <c r="RHE37" s="11"/>
      <c r="RHF37" s="11"/>
      <c r="RHG37" s="11"/>
      <c r="RHH37" s="11"/>
      <c r="RHI37" s="11"/>
      <c r="RHJ37" s="11"/>
      <c r="RHK37" s="11"/>
      <c r="RHL37" s="11"/>
      <c r="RHM37" s="11"/>
      <c r="RHN37" s="11"/>
      <c r="RHO37" s="11"/>
      <c r="RHP37" s="11"/>
      <c r="RHQ37" s="11"/>
      <c r="RHR37" s="11"/>
      <c r="RHS37" s="11"/>
      <c r="RHT37" s="11"/>
      <c r="RHU37" s="11"/>
      <c r="RHV37" s="11"/>
      <c r="RHW37" s="11"/>
      <c r="RHX37" s="11"/>
      <c r="RHY37" s="11"/>
      <c r="RHZ37" s="11"/>
      <c r="RIA37" s="11"/>
      <c r="RIB37" s="11"/>
      <c r="RIC37" s="11"/>
      <c r="RID37" s="11"/>
      <c r="RIE37" s="11"/>
      <c r="RIF37" s="11"/>
      <c r="RIG37" s="11"/>
      <c r="RIH37" s="11"/>
      <c r="RII37" s="11"/>
      <c r="RIJ37" s="11"/>
      <c r="RIK37" s="11"/>
      <c r="RIL37" s="11"/>
      <c r="RIM37" s="11"/>
      <c r="RIN37" s="11"/>
      <c r="RIO37" s="11"/>
      <c r="RIP37" s="11"/>
      <c r="RIQ37" s="11"/>
      <c r="RIR37" s="11"/>
      <c r="RIS37" s="11"/>
      <c r="RIT37" s="11"/>
      <c r="RIU37" s="11"/>
      <c r="RIV37" s="11"/>
      <c r="RIW37" s="11"/>
      <c r="RIX37" s="11"/>
      <c r="RIY37" s="11"/>
      <c r="RIZ37" s="11"/>
      <c r="RJA37" s="11"/>
      <c r="RJB37" s="11"/>
      <c r="RJC37" s="11"/>
      <c r="RJD37" s="11"/>
      <c r="RJE37" s="11"/>
      <c r="RJF37" s="11"/>
      <c r="RJG37" s="11"/>
      <c r="RJH37" s="11"/>
      <c r="RJI37" s="11"/>
      <c r="RJJ37" s="11"/>
      <c r="RJK37" s="11"/>
      <c r="RJL37" s="11"/>
      <c r="RJM37" s="11"/>
      <c r="RJN37" s="11"/>
      <c r="RJO37" s="11"/>
      <c r="RJP37" s="11"/>
      <c r="RJQ37" s="11"/>
      <c r="RJR37" s="11"/>
      <c r="RJS37" s="11"/>
      <c r="RJT37" s="11"/>
      <c r="RJU37" s="11"/>
      <c r="RJV37" s="11"/>
      <c r="RJW37" s="11"/>
      <c r="RJX37" s="11"/>
      <c r="RJY37" s="11"/>
      <c r="RJZ37" s="11"/>
      <c r="RKA37" s="11"/>
      <c r="RKB37" s="11"/>
      <c r="RKC37" s="11"/>
      <c r="RKD37" s="11"/>
      <c r="RKE37" s="11"/>
      <c r="RKF37" s="11"/>
      <c r="RKG37" s="11"/>
      <c r="RKH37" s="11"/>
      <c r="RKI37" s="11"/>
      <c r="RKJ37" s="11"/>
      <c r="RKK37" s="11"/>
      <c r="RKL37" s="11"/>
      <c r="RKM37" s="11"/>
      <c r="RKN37" s="11"/>
      <c r="RKO37" s="11"/>
      <c r="RKP37" s="11"/>
      <c r="RKQ37" s="11"/>
      <c r="RKR37" s="11"/>
      <c r="RKS37" s="11"/>
      <c r="RKT37" s="11"/>
      <c r="RKU37" s="11"/>
      <c r="RKV37" s="11"/>
      <c r="RKW37" s="11"/>
      <c r="RKX37" s="11"/>
      <c r="RKY37" s="11"/>
      <c r="RKZ37" s="11"/>
      <c r="RLA37" s="11"/>
      <c r="RLB37" s="11"/>
      <c r="RLC37" s="11"/>
      <c r="RLD37" s="11"/>
      <c r="RLE37" s="11"/>
      <c r="RLF37" s="11"/>
      <c r="RLG37" s="11"/>
      <c r="RLH37" s="11"/>
      <c r="RLI37" s="11"/>
      <c r="RLJ37" s="11"/>
      <c r="RLK37" s="11"/>
      <c r="RLL37" s="11"/>
      <c r="RLM37" s="11"/>
      <c r="RLN37" s="11"/>
      <c r="RLO37" s="11"/>
      <c r="RLP37" s="11"/>
      <c r="RLQ37" s="11"/>
      <c r="RLR37" s="11"/>
      <c r="RLS37" s="11"/>
      <c r="RLT37" s="11"/>
      <c r="RLU37" s="11"/>
      <c r="RLV37" s="11"/>
      <c r="RLW37" s="11"/>
      <c r="RLX37" s="11"/>
      <c r="RLY37" s="11"/>
      <c r="RLZ37" s="11"/>
      <c r="RMA37" s="11"/>
      <c r="RMB37" s="11"/>
      <c r="RMC37" s="11"/>
      <c r="RMD37" s="11"/>
      <c r="RME37" s="11"/>
      <c r="RMF37" s="11"/>
      <c r="RMG37" s="11"/>
      <c r="RMH37" s="11"/>
      <c r="RMI37" s="11"/>
      <c r="RMJ37" s="11"/>
      <c r="RMK37" s="11"/>
      <c r="RML37" s="11"/>
      <c r="RMM37" s="11"/>
      <c r="RMN37" s="11"/>
      <c r="RMO37" s="11"/>
      <c r="RMP37" s="11"/>
      <c r="RMQ37" s="11"/>
      <c r="RMR37" s="11"/>
      <c r="RMS37" s="11"/>
      <c r="RMT37" s="11"/>
      <c r="RMU37" s="11"/>
      <c r="RMV37" s="11"/>
      <c r="RMW37" s="11"/>
      <c r="RMX37" s="11"/>
      <c r="RMY37" s="11"/>
      <c r="RMZ37" s="11"/>
      <c r="RNA37" s="11"/>
      <c r="RNB37" s="11"/>
      <c r="RNC37" s="11"/>
      <c r="RND37" s="11"/>
      <c r="RNE37" s="11"/>
      <c r="RNF37" s="11"/>
      <c r="RNG37" s="11"/>
      <c r="RNH37" s="11"/>
      <c r="RNI37" s="11"/>
      <c r="RNJ37" s="11"/>
      <c r="RNK37" s="11"/>
      <c r="RNL37" s="11"/>
      <c r="RNM37" s="11"/>
      <c r="RNN37" s="11"/>
      <c r="RNO37" s="11"/>
      <c r="RNP37" s="11"/>
      <c r="RNQ37" s="11"/>
      <c r="RNR37" s="11"/>
      <c r="RNS37" s="11"/>
      <c r="RNT37" s="11"/>
      <c r="RNU37" s="11"/>
      <c r="RNV37" s="11"/>
      <c r="RNW37" s="11"/>
      <c r="RNX37" s="11"/>
      <c r="RNY37" s="11"/>
      <c r="RNZ37" s="11"/>
      <c r="ROA37" s="11"/>
      <c r="ROB37" s="11"/>
      <c r="ROC37" s="11"/>
      <c r="ROD37" s="11"/>
      <c r="ROE37" s="11"/>
      <c r="ROF37" s="11"/>
      <c r="ROG37" s="11"/>
      <c r="ROH37" s="11"/>
      <c r="ROI37" s="11"/>
      <c r="ROJ37" s="11"/>
      <c r="ROK37" s="11"/>
      <c r="ROL37" s="11"/>
      <c r="ROM37" s="11"/>
      <c r="RON37" s="11"/>
      <c r="ROO37" s="11"/>
      <c r="ROP37" s="11"/>
      <c r="ROQ37" s="11"/>
      <c r="ROR37" s="11"/>
      <c r="ROS37" s="11"/>
      <c r="ROT37" s="11"/>
      <c r="ROU37" s="11"/>
      <c r="ROV37" s="11"/>
      <c r="ROW37" s="11"/>
      <c r="ROX37" s="11"/>
      <c r="ROY37" s="11"/>
      <c r="ROZ37" s="11"/>
      <c r="RPA37" s="11"/>
      <c r="RPB37" s="11"/>
      <c r="RPC37" s="11"/>
      <c r="RPD37" s="11"/>
      <c r="RPE37" s="11"/>
      <c r="RPF37" s="11"/>
      <c r="RPG37" s="11"/>
      <c r="RPH37" s="11"/>
      <c r="RPI37" s="11"/>
      <c r="RPJ37" s="11"/>
      <c r="RPK37" s="11"/>
      <c r="RPL37" s="11"/>
      <c r="RPM37" s="11"/>
      <c r="RPN37" s="11"/>
      <c r="RPO37" s="11"/>
      <c r="RPP37" s="11"/>
      <c r="RPQ37" s="11"/>
      <c r="RPR37" s="11"/>
      <c r="RPS37" s="11"/>
      <c r="RPT37" s="11"/>
      <c r="RPU37" s="11"/>
      <c r="RPV37" s="11"/>
      <c r="RPW37" s="11"/>
      <c r="RPX37" s="11"/>
      <c r="RPY37" s="11"/>
      <c r="RPZ37" s="11"/>
      <c r="RQA37" s="11"/>
      <c r="RQB37" s="11"/>
      <c r="RQC37" s="11"/>
      <c r="RQD37" s="11"/>
      <c r="RQE37" s="11"/>
      <c r="RQF37" s="11"/>
      <c r="RQG37" s="11"/>
      <c r="RQH37" s="11"/>
      <c r="RQI37" s="11"/>
      <c r="RQJ37" s="11"/>
      <c r="RQK37" s="11"/>
      <c r="RQL37" s="11"/>
      <c r="RQM37" s="11"/>
      <c r="RQN37" s="11"/>
      <c r="RQO37" s="11"/>
      <c r="RQP37" s="11"/>
      <c r="RQQ37" s="11"/>
      <c r="RQR37" s="11"/>
      <c r="RQS37" s="11"/>
      <c r="RQT37" s="11"/>
      <c r="RQU37" s="11"/>
      <c r="RQV37" s="11"/>
      <c r="RQW37" s="11"/>
      <c r="RQX37" s="11"/>
      <c r="RQY37" s="11"/>
      <c r="RQZ37" s="11"/>
      <c r="RRA37" s="11"/>
      <c r="RRB37" s="11"/>
      <c r="RRC37" s="11"/>
      <c r="RRD37" s="11"/>
      <c r="RRE37" s="11"/>
      <c r="RRF37" s="11"/>
      <c r="RRG37" s="11"/>
      <c r="RRH37" s="11"/>
      <c r="RRI37" s="11"/>
      <c r="RRJ37" s="11"/>
      <c r="RRK37" s="11"/>
      <c r="RRL37" s="11"/>
      <c r="RRM37" s="11"/>
      <c r="RRN37" s="11"/>
      <c r="RRO37" s="11"/>
      <c r="RRP37" s="11"/>
      <c r="RRQ37" s="11"/>
      <c r="RRR37" s="11"/>
      <c r="RRS37" s="11"/>
      <c r="RRT37" s="11"/>
      <c r="RRU37" s="11"/>
      <c r="RRV37" s="11"/>
      <c r="RRW37" s="11"/>
      <c r="RRX37" s="11"/>
      <c r="RRY37" s="11"/>
      <c r="RRZ37" s="11"/>
      <c r="RSA37" s="11"/>
      <c r="RSB37" s="11"/>
      <c r="RSC37" s="11"/>
      <c r="RSD37" s="11"/>
      <c r="RSE37" s="11"/>
      <c r="RSF37" s="11"/>
      <c r="RSG37" s="11"/>
      <c r="RSH37" s="11"/>
      <c r="RSI37" s="11"/>
      <c r="RSJ37" s="11"/>
      <c r="RSK37" s="11"/>
      <c r="RSL37" s="11"/>
      <c r="RSM37" s="11"/>
      <c r="RSN37" s="11"/>
      <c r="RSO37" s="11"/>
      <c r="RSP37" s="11"/>
      <c r="RSQ37" s="11"/>
      <c r="RSR37" s="11"/>
      <c r="RSS37" s="11"/>
      <c r="RST37" s="11"/>
      <c r="RSU37" s="11"/>
      <c r="RSV37" s="11"/>
      <c r="RSW37" s="11"/>
      <c r="RSX37" s="11"/>
      <c r="RSY37" s="11"/>
      <c r="RSZ37" s="11"/>
      <c r="RTA37" s="11"/>
      <c r="RTB37" s="11"/>
      <c r="RTC37" s="11"/>
      <c r="RTD37" s="11"/>
      <c r="RTE37" s="11"/>
      <c r="RTF37" s="11"/>
      <c r="RTG37" s="11"/>
      <c r="RTH37" s="11"/>
      <c r="RTI37" s="11"/>
      <c r="RTJ37" s="11"/>
      <c r="RTK37" s="11"/>
      <c r="RTL37" s="11"/>
      <c r="RTM37" s="11"/>
      <c r="RTN37" s="11"/>
      <c r="RTO37" s="11"/>
      <c r="RTP37" s="11"/>
      <c r="RTQ37" s="11"/>
      <c r="RTR37" s="11"/>
      <c r="RTS37" s="11"/>
      <c r="RTT37" s="11"/>
      <c r="RTU37" s="11"/>
      <c r="RTV37" s="11"/>
      <c r="RTW37" s="11"/>
      <c r="RTX37" s="11"/>
      <c r="RTY37" s="11"/>
      <c r="RTZ37" s="11"/>
      <c r="RUA37" s="11"/>
      <c r="RUB37" s="11"/>
      <c r="RUC37" s="11"/>
      <c r="RUD37" s="11"/>
      <c r="RUE37" s="11"/>
      <c r="RUF37" s="11"/>
      <c r="RUG37" s="11"/>
      <c r="RUH37" s="11"/>
      <c r="RUI37" s="11"/>
      <c r="RUJ37" s="11"/>
      <c r="RUK37" s="11"/>
      <c r="RUL37" s="11"/>
      <c r="RUM37" s="11"/>
      <c r="RUN37" s="11"/>
      <c r="RUO37" s="11"/>
      <c r="RUP37" s="11"/>
      <c r="RUQ37" s="11"/>
      <c r="RUR37" s="11"/>
      <c r="RUS37" s="11"/>
      <c r="RUT37" s="11"/>
      <c r="RUU37" s="11"/>
      <c r="RUV37" s="11"/>
      <c r="RUW37" s="11"/>
      <c r="RUX37" s="11"/>
      <c r="RUY37" s="11"/>
      <c r="RUZ37" s="11"/>
      <c r="RVA37" s="11"/>
      <c r="RVB37" s="11"/>
      <c r="RVC37" s="11"/>
      <c r="RVD37" s="11"/>
      <c r="RVE37" s="11"/>
      <c r="RVF37" s="11"/>
      <c r="RVG37" s="11"/>
      <c r="RVH37" s="11"/>
      <c r="RVI37" s="11"/>
      <c r="RVJ37" s="11"/>
      <c r="RVK37" s="11"/>
      <c r="RVL37" s="11"/>
      <c r="RVM37" s="11"/>
      <c r="RVN37" s="11"/>
      <c r="RVO37" s="11"/>
      <c r="RVP37" s="11"/>
      <c r="RVQ37" s="11"/>
      <c r="RVR37" s="11"/>
      <c r="RVS37" s="11"/>
      <c r="RVT37" s="11"/>
      <c r="RVU37" s="11"/>
      <c r="RVV37" s="11"/>
      <c r="RVW37" s="11"/>
      <c r="RVX37" s="11"/>
      <c r="RVY37" s="11"/>
      <c r="RVZ37" s="11"/>
      <c r="RWA37" s="11"/>
      <c r="RWB37" s="11"/>
      <c r="RWC37" s="11"/>
      <c r="RWD37" s="11"/>
      <c r="RWE37" s="11"/>
      <c r="RWF37" s="11"/>
      <c r="RWG37" s="11"/>
      <c r="RWH37" s="11"/>
      <c r="RWI37" s="11"/>
      <c r="RWJ37" s="11"/>
      <c r="RWK37" s="11"/>
      <c r="RWL37" s="11"/>
      <c r="RWM37" s="11"/>
      <c r="RWN37" s="11"/>
      <c r="RWO37" s="11"/>
      <c r="RWP37" s="11"/>
      <c r="RWQ37" s="11"/>
      <c r="RWR37" s="11"/>
      <c r="RWS37" s="11"/>
      <c r="RWT37" s="11"/>
      <c r="RWU37" s="11"/>
      <c r="RWV37" s="11"/>
      <c r="RWW37" s="11"/>
      <c r="RWX37" s="11"/>
      <c r="RWY37" s="11"/>
      <c r="RWZ37" s="11"/>
      <c r="RXA37" s="11"/>
      <c r="RXB37" s="11"/>
      <c r="RXC37" s="11"/>
      <c r="RXD37" s="11"/>
      <c r="RXE37" s="11"/>
      <c r="RXF37" s="11"/>
      <c r="RXG37" s="11"/>
      <c r="RXH37" s="11"/>
      <c r="RXI37" s="11"/>
      <c r="RXJ37" s="11"/>
      <c r="RXK37" s="11"/>
      <c r="RXL37" s="11"/>
      <c r="RXM37" s="11"/>
      <c r="RXN37" s="11"/>
      <c r="RXO37" s="11"/>
      <c r="RXP37" s="11"/>
      <c r="RXQ37" s="11"/>
      <c r="RXR37" s="11"/>
      <c r="RXS37" s="11"/>
      <c r="RXT37" s="11"/>
      <c r="RXU37" s="11"/>
      <c r="RXV37" s="11"/>
      <c r="RXW37" s="11"/>
      <c r="RXX37" s="11"/>
      <c r="RXY37" s="11"/>
      <c r="RXZ37" s="11"/>
      <c r="RYA37" s="11"/>
      <c r="RYB37" s="11"/>
      <c r="RYC37" s="11"/>
      <c r="RYD37" s="11"/>
      <c r="RYE37" s="11"/>
      <c r="RYF37" s="11"/>
      <c r="RYG37" s="11"/>
      <c r="RYH37" s="11"/>
      <c r="RYI37" s="11"/>
      <c r="RYJ37" s="11"/>
      <c r="RYK37" s="11"/>
      <c r="RYL37" s="11"/>
      <c r="RYM37" s="11"/>
      <c r="RYN37" s="11"/>
      <c r="RYO37" s="11"/>
      <c r="RYP37" s="11"/>
      <c r="RYQ37" s="11"/>
      <c r="RYR37" s="11"/>
      <c r="RYS37" s="11"/>
      <c r="RYT37" s="11"/>
      <c r="RYU37" s="11"/>
      <c r="RYV37" s="11"/>
      <c r="RYW37" s="11"/>
      <c r="RYX37" s="11"/>
      <c r="RYY37" s="11"/>
      <c r="RYZ37" s="11"/>
      <c r="RZA37" s="11"/>
      <c r="RZB37" s="11"/>
      <c r="RZC37" s="11"/>
      <c r="RZD37" s="11"/>
      <c r="RZE37" s="11"/>
      <c r="RZF37" s="11"/>
      <c r="RZG37" s="11"/>
      <c r="RZH37" s="11"/>
      <c r="RZI37" s="11"/>
      <c r="RZJ37" s="11"/>
      <c r="RZK37" s="11"/>
      <c r="RZL37" s="11"/>
      <c r="RZM37" s="11"/>
      <c r="RZN37" s="11"/>
      <c r="RZO37" s="11"/>
      <c r="RZP37" s="11"/>
      <c r="RZQ37" s="11"/>
      <c r="RZR37" s="11"/>
      <c r="RZS37" s="11"/>
      <c r="RZT37" s="11"/>
      <c r="RZU37" s="11"/>
      <c r="RZV37" s="11"/>
      <c r="RZW37" s="11"/>
      <c r="RZX37" s="11"/>
      <c r="RZY37" s="11"/>
      <c r="RZZ37" s="11"/>
      <c r="SAA37" s="11"/>
      <c r="SAB37" s="11"/>
      <c r="SAC37" s="11"/>
      <c r="SAD37" s="11"/>
      <c r="SAE37" s="11"/>
      <c r="SAF37" s="11"/>
      <c r="SAG37" s="11"/>
      <c r="SAH37" s="11"/>
      <c r="SAI37" s="11"/>
      <c r="SAJ37" s="11"/>
      <c r="SAK37" s="11"/>
      <c r="SAL37" s="11"/>
      <c r="SAM37" s="11"/>
      <c r="SAN37" s="11"/>
      <c r="SAO37" s="11"/>
      <c r="SAP37" s="11"/>
      <c r="SAQ37" s="11"/>
      <c r="SAR37" s="11"/>
      <c r="SAS37" s="11"/>
      <c r="SAT37" s="11"/>
      <c r="SAU37" s="11"/>
      <c r="SAV37" s="11"/>
      <c r="SAW37" s="11"/>
      <c r="SAX37" s="11"/>
      <c r="SAY37" s="11"/>
      <c r="SAZ37" s="11"/>
      <c r="SBA37" s="11"/>
      <c r="SBB37" s="11"/>
      <c r="SBC37" s="11"/>
      <c r="SBD37" s="11"/>
      <c r="SBE37" s="11"/>
      <c r="SBF37" s="11"/>
      <c r="SBG37" s="11"/>
      <c r="SBH37" s="11"/>
      <c r="SBI37" s="11"/>
      <c r="SBJ37" s="11"/>
      <c r="SBK37" s="11"/>
      <c r="SBL37" s="11"/>
      <c r="SBM37" s="11"/>
      <c r="SBN37" s="11"/>
      <c r="SBO37" s="11"/>
      <c r="SBP37" s="11"/>
      <c r="SBQ37" s="11"/>
      <c r="SBR37" s="11"/>
      <c r="SBS37" s="11"/>
      <c r="SBT37" s="11"/>
      <c r="SBU37" s="11"/>
      <c r="SBV37" s="11"/>
      <c r="SBW37" s="11"/>
      <c r="SBX37" s="11"/>
      <c r="SBY37" s="11"/>
      <c r="SBZ37" s="11"/>
      <c r="SCA37" s="11"/>
      <c r="SCB37" s="11"/>
      <c r="SCC37" s="11"/>
      <c r="SCD37" s="11"/>
      <c r="SCE37" s="11"/>
      <c r="SCF37" s="11"/>
      <c r="SCG37" s="11"/>
      <c r="SCH37" s="11"/>
      <c r="SCI37" s="11"/>
      <c r="SCJ37" s="11"/>
      <c r="SCK37" s="11"/>
      <c r="SCL37" s="11"/>
      <c r="SCM37" s="11"/>
      <c r="SCN37" s="11"/>
      <c r="SCO37" s="11"/>
      <c r="SCP37" s="11"/>
      <c r="SCQ37" s="11"/>
      <c r="SCR37" s="11"/>
      <c r="SCS37" s="11"/>
      <c r="SCT37" s="11"/>
      <c r="SCU37" s="11"/>
      <c r="SCV37" s="11"/>
      <c r="SCW37" s="11"/>
      <c r="SCX37" s="11"/>
      <c r="SCY37" s="11"/>
      <c r="SCZ37" s="11"/>
      <c r="SDA37" s="11"/>
      <c r="SDB37" s="11"/>
      <c r="SDC37" s="11"/>
      <c r="SDD37" s="11"/>
      <c r="SDE37" s="11"/>
      <c r="SDF37" s="11"/>
      <c r="SDG37" s="11"/>
      <c r="SDH37" s="11"/>
      <c r="SDI37" s="11"/>
      <c r="SDJ37" s="11"/>
      <c r="SDK37" s="11"/>
      <c r="SDL37" s="11"/>
      <c r="SDM37" s="11"/>
      <c r="SDN37" s="11"/>
      <c r="SDO37" s="11"/>
      <c r="SDP37" s="11"/>
      <c r="SDQ37" s="11"/>
      <c r="SDR37" s="11"/>
      <c r="SDS37" s="11"/>
      <c r="SDT37" s="11"/>
      <c r="SDU37" s="11"/>
      <c r="SDV37" s="11"/>
      <c r="SDW37" s="11"/>
      <c r="SDX37" s="11"/>
      <c r="SDY37" s="11"/>
      <c r="SDZ37" s="11"/>
      <c r="SEA37" s="11"/>
      <c r="SEB37" s="11"/>
      <c r="SEC37" s="11"/>
      <c r="SED37" s="11"/>
      <c r="SEE37" s="11"/>
      <c r="SEF37" s="11"/>
      <c r="SEG37" s="11"/>
      <c r="SEH37" s="11"/>
      <c r="SEI37" s="11"/>
      <c r="SEJ37" s="11"/>
      <c r="SEK37" s="11"/>
      <c r="SEL37" s="11"/>
      <c r="SEM37" s="11"/>
      <c r="SEN37" s="11"/>
      <c r="SEO37" s="11"/>
      <c r="SEP37" s="11"/>
      <c r="SEQ37" s="11"/>
      <c r="SER37" s="11"/>
      <c r="SES37" s="11"/>
      <c r="SET37" s="11"/>
      <c r="SEU37" s="11"/>
      <c r="SEV37" s="11"/>
      <c r="SEW37" s="11"/>
      <c r="SEX37" s="11"/>
      <c r="SEY37" s="11"/>
      <c r="SEZ37" s="11"/>
      <c r="SFA37" s="11"/>
      <c r="SFB37" s="11"/>
      <c r="SFC37" s="11"/>
      <c r="SFD37" s="11"/>
      <c r="SFE37" s="11"/>
      <c r="SFF37" s="11"/>
      <c r="SFG37" s="11"/>
      <c r="SFH37" s="11"/>
      <c r="SFI37" s="11"/>
      <c r="SFJ37" s="11"/>
      <c r="SFK37" s="11"/>
      <c r="SFL37" s="11"/>
      <c r="SFM37" s="11"/>
      <c r="SFN37" s="11"/>
      <c r="SFO37" s="11"/>
      <c r="SFP37" s="11"/>
      <c r="SFQ37" s="11"/>
      <c r="SFR37" s="11"/>
      <c r="SFS37" s="11"/>
      <c r="SFT37" s="11"/>
      <c r="SFU37" s="11"/>
      <c r="SFV37" s="11"/>
      <c r="SFW37" s="11"/>
      <c r="SFX37" s="11"/>
      <c r="SFY37" s="11"/>
      <c r="SFZ37" s="11"/>
      <c r="SGA37" s="11"/>
      <c r="SGB37" s="11"/>
      <c r="SGC37" s="11"/>
      <c r="SGD37" s="11"/>
      <c r="SGE37" s="11"/>
      <c r="SGF37" s="11"/>
      <c r="SGG37" s="11"/>
      <c r="SGH37" s="11"/>
      <c r="SGI37" s="11"/>
      <c r="SGJ37" s="11"/>
      <c r="SGK37" s="11"/>
      <c r="SGL37" s="11"/>
      <c r="SGM37" s="11"/>
      <c r="SGN37" s="11"/>
      <c r="SGO37" s="11"/>
      <c r="SGP37" s="11"/>
      <c r="SGQ37" s="11"/>
      <c r="SGR37" s="11"/>
      <c r="SGS37" s="11"/>
      <c r="SGT37" s="11"/>
      <c r="SGU37" s="11"/>
      <c r="SGV37" s="11"/>
      <c r="SGW37" s="11"/>
      <c r="SGX37" s="11"/>
      <c r="SGY37" s="11"/>
      <c r="SGZ37" s="11"/>
      <c r="SHA37" s="11"/>
      <c r="SHB37" s="11"/>
      <c r="SHC37" s="11"/>
      <c r="SHD37" s="11"/>
      <c r="SHE37" s="11"/>
      <c r="SHF37" s="11"/>
      <c r="SHG37" s="11"/>
      <c r="SHH37" s="11"/>
      <c r="SHI37" s="11"/>
      <c r="SHJ37" s="11"/>
      <c r="SHK37" s="11"/>
      <c r="SHL37" s="11"/>
      <c r="SHM37" s="11"/>
      <c r="SHN37" s="11"/>
      <c r="SHO37" s="11"/>
      <c r="SHP37" s="11"/>
      <c r="SHQ37" s="11"/>
      <c r="SHR37" s="11"/>
      <c r="SHS37" s="11"/>
      <c r="SHT37" s="11"/>
      <c r="SHU37" s="11"/>
      <c r="SHV37" s="11"/>
      <c r="SHW37" s="11"/>
      <c r="SHX37" s="11"/>
      <c r="SHY37" s="11"/>
      <c r="SHZ37" s="11"/>
      <c r="SIA37" s="11"/>
      <c r="SIB37" s="11"/>
      <c r="SIC37" s="11"/>
      <c r="SID37" s="11"/>
      <c r="SIE37" s="11"/>
      <c r="SIF37" s="11"/>
      <c r="SIG37" s="11"/>
      <c r="SIH37" s="11"/>
      <c r="SII37" s="11"/>
      <c r="SIJ37" s="11"/>
      <c r="SIK37" s="11"/>
      <c r="SIL37" s="11"/>
      <c r="SIM37" s="11"/>
      <c r="SIN37" s="11"/>
      <c r="SIO37" s="11"/>
      <c r="SIP37" s="11"/>
      <c r="SIQ37" s="11"/>
      <c r="SIR37" s="11"/>
      <c r="SIS37" s="11"/>
      <c r="SIT37" s="11"/>
      <c r="SIU37" s="11"/>
      <c r="SIV37" s="11"/>
      <c r="SIW37" s="11"/>
      <c r="SIX37" s="11"/>
      <c r="SIY37" s="11"/>
      <c r="SIZ37" s="11"/>
      <c r="SJA37" s="11"/>
      <c r="SJB37" s="11"/>
      <c r="SJC37" s="11"/>
      <c r="SJD37" s="11"/>
      <c r="SJE37" s="11"/>
      <c r="SJF37" s="11"/>
      <c r="SJG37" s="11"/>
      <c r="SJH37" s="11"/>
      <c r="SJI37" s="11"/>
      <c r="SJJ37" s="11"/>
      <c r="SJK37" s="11"/>
      <c r="SJL37" s="11"/>
      <c r="SJM37" s="11"/>
      <c r="SJN37" s="11"/>
      <c r="SJO37" s="11"/>
      <c r="SJP37" s="11"/>
      <c r="SJQ37" s="11"/>
      <c r="SJR37" s="11"/>
      <c r="SJS37" s="11"/>
      <c r="SJT37" s="11"/>
      <c r="SJU37" s="11"/>
      <c r="SJV37" s="11"/>
      <c r="SJW37" s="11"/>
      <c r="SJX37" s="11"/>
      <c r="SJY37" s="11"/>
      <c r="SJZ37" s="11"/>
      <c r="SKA37" s="11"/>
      <c r="SKB37" s="11"/>
      <c r="SKC37" s="11"/>
      <c r="SKD37" s="11"/>
      <c r="SKE37" s="11"/>
      <c r="SKF37" s="11"/>
      <c r="SKG37" s="11"/>
      <c r="SKH37" s="11"/>
      <c r="SKI37" s="11"/>
      <c r="SKJ37" s="11"/>
      <c r="SKK37" s="11"/>
      <c r="SKL37" s="11"/>
      <c r="SKM37" s="11"/>
      <c r="SKN37" s="11"/>
      <c r="SKO37" s="11"/>
      <c r="SKP37" s="11"/>
      <c r="SKQ37" s="11"/>
      <c r="SKR37" s="11"/>
      <c r="SKS37" s="11"/>
      <c r="SKT37" s="11"/>
      <c r="SKU37" s="11"/>
      <c r="SKV37" s="11"/>
      <c r="SKW37" s="11"/>
      <c r="SKX37" s="11"/>
      <c r="SKY37" s="11"/>
      <c r="SKZ37" s="11"/>
      <c r="SLA37" s="11"/>
      <c r="SLB37" s="11"/>
      <c r="SLC37" s="11"/>
      <c r="SLD37" s="11"/>
      <c r="SLE37" s="11"/>
      <c r="SLF37" s="11"/>
      <c r="SLG37" s="11"/>
      <c r="SLH37" s="11"/>
      <c r="SLI37" s="11"/>
      <c r="SLJ37" s="11"/>
      <c r="SLK37" s="11"/>
      <c r="SLL37" s="11"/>
      <c r="SLM37" s="11"/>
      <c r="SLN37" s="11"/>
      <c r="SLO37" s="11"/>
      <c r="SLP37" s="11"/>
      <c r="SLQ37" s="11"/>
      <c r="SLR37" s="11"/>
      <c r="SLS37" s="11"/>
      <c r="SLT37" s="11"/>
      <c r="SLU37" s="11"/>
      <c r="SLV37" s="11"/>
      <c r="SLW37" s="11"/>
      <c r="SLX37" s="11"/>
      <c r="SLY37" s="11"/>
      <c r="SLZ37" s="11"/>
      <c r="SMA37" s="11"/>
      <c r="SMB37" s="11"/>
      <c r="SMC37" s="11"/>
      <c r="SMD37" s="11"/>
      <c r="SME37" s="11"/>
      <c r="SMF37" s="11"/>
      <c r="SMG37" s="11"/>
      <c r="SMH37" s="11"/>
      <c r="SMI37" s="11"/>
      <c r="SMJ37" s="11"/>
      <c r="SMK37" s="11"/>
      <c r="SML37" s="11"/>
      <c r="SMM37" s="11"/>
      <c r="SMN37" s="11"/>
      <c r="SMO37" s="11"/>
      <c r="SMP37" s="11"/>
      <c r="SMQ37" s="11"/>
      <c r="SMR37" s="11"/>
      <c r="SMS37" s="11"/>
      <c r="SMT37" s="11"/>
      <c r="SMU37" s="11"/>
      <c r="SMV37" s="11"/>
      <c r="SMW37" s="11"/>
      <c r="SMX37" s="11"/>
      <c r="SMY37" s="11"/>
      <c r="SMZ37" s="11"/>
      <c r="SNA37" s="11"/>
      <c r="SNB37" s="11"/>
      <c r="SNC37" s="11"/>
      <c r="SND37" s="11"/>
      <c r="SNE37" s="11"/>
      <c r="SNF37" s="11"/>
      <c r="SNG37" s="11"/>
      <c r="SNH37" s="11"/>
      <c r="SNI37" s="11"/>
      <c r="SNJ37" s="11"/>
      <c r="SNK37" s="11"/>
      <c r="SNL37" s="11"/>
      <c r="SNM37" s="11"/>
      <c r="SNN37" s="11"/>
      <c r="SNO37" s="11"/>
      <c r="SNP37" s="11"/>
      <c r="SNQ37" s="11"/>
      <c r="SNR37" s="11"/>
      <c r="SNS37" s="11"/>
      <c r="SNT37" s="11"/>
      <c r="SNU37" s="11"/>
      <c r="SNV37" s="11"/>
      <c r="SNW37" s="11"/>
      <c r="SNX37" s="11"/>
      <c r="SNY37" s="11"/>
      <c r="SNZ37" s="11"/>
      <c r="SOA37" s="11"/>
      <c r="SOB37" s="11"/>
      <c r="SOC37" s="11"/>
      <c r="SOD37" s="11"/>
      <c r="SOE37" s="11"/>
      <c r="SOF37" s="11"/>
      <c r="SOG37" s="11"/>
      <c r="SOH37" s="11"/>
      <c r="SOI37" s="11"/>
      <c r="SOJ37" s="11"/>
      <c r="SOK37" s="11"/>
      <c r="SOL37" s="11"/>
      <c r="SOM37" s="11"/>
      <c r="SON37" s="11"/>
      <c r="SOO37" s="11"/>
      <c r="SOP37" s="11"/>
      <c r="SOQ37" s="11"/>
      <c r="SOR37" s="11"/>
      <c r="SOS37" s="11"/>
      <c r="SOT37" s="11"/>
      <c r="SOU37" s="11"/>
      <c r="SOV37" s="11"/>
      <c r="SOW37" s="11"/>
      <c r="SOX37" s="11"/>
      <c r="SOY37" s="11"/>
      <c r="SOZ37" s="11"/>
      <c r="SPA37" s="11"/>
      <c r="SPB37" s="11"/>
      <c r="SPC37" s="11"/>
      <c r="SPD37" s="11"/>
      <c r="SPE37" s="11"/>
      <c r="SPF37" s="11"/>
      <c r="SPG37" s="11"/>
      <c r="SPH37" s="11"/>
      <c r="SPI37" s="11"/>
      <c r="SPJ37" s="11"/>
      <c r="SPK37" s="11"/>
      <c r="SPL37" s="11"/>
      <c r="SPM37" s="11"/>
      <c r="SPN37" s="11"/>
      <c r="SPO37" s="11"/>
      <c r="SPP37" s="11"/>
      <c r="SPQ37" s="11"/>
      <c r="SPR37" s="11"/>
      <c r="SPS37" s="11"/>
      <c r="SPT37" s="11"/>
      <c r="SPU37" s="11"/>
      <c r="SPV37" s="11"/>
      <c r="SPW37" s="11"/>
      <c r="SPX37" s="11"/>
      <c r="SPY37" s="11"/>
      <c r="SPZ37" s="11"/>
      <c r="SQA37" s="11"/>
      <c r="SQB37" s="11"/>
      <c r="SQC37" s="11"/>
      <c r="SQD37" s="11"/>
      <c r="SQE37" s="11"/>
      <c r="SQF37" s="11"/>
      <c r="SQG37" s="11"/>
      <c r="SQH37" s="11"/>
      <c r="SQI37" s="11"/>
      <c r="SQJ37" s="11"/>
      <c r="SQK37" s="11"/>
      <c r="SQL37" s="11"/>
      <c r="SQM37" s="11"/>
      <c r="SQN37" s="11"/>
      <c r="SQO37" s="11"/>
      <c r="SQP37" s="11"/>
      <c r="SQQ37" s="11"/>
      <c r="SQR37" s="11"/>
      <c r="SQS37" s="11"/>
      <c r="SQT37" s="11"/>
      <c r="SQU37" s="11"/>
      <c r="SQV37" s="11"/>
      <c r="SQW37" s="11"/>
      <c r="SQX37" s="11"/>
      <c r="SQY37" s="11"/>
      <c r="SQZ37" s="11"/>
      <c r="SRA37" s="11"/>
      <c r="SRB37" s="11"/>
      <c r="SRC37" s="11"/>
      <c r="SRD37" s="11"/>
      <c r="SRE37" s="11"/>
      <c r="SRF37" s="11"/>
      <c r="SRG37" s="11"/>
      <c r="SRH37" s="11"/>
      <c r="SRI37" s="11"/>
      <c r="SRJ37" s="11"/>
      <c r="SRK37" s="11"/>
      <c r="SRL37" s="11"/>
      <c r="SRM37" s="11"/>
      <c r="SRN37" s="11"/>
      <c r="SRO37" s="11"/>
      <c r="SRP37" s="11"/>
      <c r="SRQ37" s="11"/>
      <c r="SRR37" s="11"/>
      <c r="SRS37" s="11"/>
      <c r="SRT37" s="11"/>
      <c r="SRU37" s="11"/>
      <c r="SRV37" s="11"/>
      <c r="SRW37" s="11"/>
      <c r="SRX37" s="11"/>
      <c r="SRY37" s="11"/>
      <c r="SRZ37" s="11"/>
      <c r="SSA37" s="11"/>
      <c r="SSB37" s="11"/>
      <c r="SSC37" s="11"/>
      <c r="SSD37" s="11"/>
      <c r="SSE37" s="11"/>
      <c r="SSF37" s="11"/>
      <c r="SSG37" s="11"/>
      <c r="SSH37" s="11"/>
      <c r="SSI37" s="11"/>
      <c r="SSJ37" s="11"/>
      <c r="SSK37" s="11"/>
      <c r="SSL37" s="11"/>
      <c r="SSM37" s="11"/>
      <c r="SSN37" s="11"/>
      <c r="SSO37" s="11"/>
      <c r="SSP37" s="11"/>
      <c r="SSQ37" s="11"/>
      <c r="SSR37" s="11"/>
      <c r="SSS37" s="11"/>
      <c r="SST37" s="11"/>
      <c r="SSU37" s="11"/>
      <c r="SSV37" s="11"/>
      <c r="SSW37" s="11"/>
      <c r="SSX37" s="11"/>
      <c r="SSY37" s="11"/>
      <c r="SSZ37" s="11"/>
      <c r="STA37" s="11"/>
      <c r="STB37" s="11"/>
      <c r="STC37" s="11"/>
      <c r="STD37" s="11"/>
      <c r="STE37" s="11"/>
      <c r="STF37" s="11"/>
      <c r="STG37" s="11"/>
      <c r="STH37" s="11"/>
      <c r="STI37" s="11"/>
      <c r="STJ37" s="11"/>
      <c r="STK37" s="11"/>
      <c r="STL37" s="11"/>
      <c r="STM37" s="11"/>
      <c r="STN37" s="11"/>
      <c r="STO37" s="11"/>
      <c r="STP37" s="11"/>
      <c r="STQ37" s="11"/>
      <c r="STR37" s="11"/>
      <c r="STS37" s="11"/>
      <c r="STT37" s="11"/>
      <c r="STU37" s="11"/>
      <c r="STV37" s="11"/>
      <c r="STW37" s="11"/>
      <c r="STX37" s="11"/>
      <c r="STY37" s="11"/>
      <c r="STZ37" s="11"/>
      <c r="SUA37" s="11"/>
      <c r="SUB37" s="11"/>
      <c r="SUC37" s="11"/>
      <c r="SUD37" s="11"/>
      <c r="SUE37" s="11"/>
      <c r="SUF37" s="11"/>
      <c r="SUG37" s="11"/>
      <c r="SUH37" s="11"/>
      <c r="SUI37" s="11"/>
      <c r="SUJ37" s="11"/>
      <c r="SUK37" s="11"/>
      <c r="SUL37" s="11"/>
      <c r="SUM37" s="11"/>
      <c r="SUN37" s="11"/>
      <c r="SUO37" s="11"/>
      <c r="SUP37" s="11"/>
      <c r="SUQ37" s="11"/>
      <c r="SUR37" s="11"/>
      <c r="SUS37" s="11"/>
      <c r="SUT37" s="11"/>
      <c r="SUU37" s="11"/>
      <c r="SUV37" s="11"/>
      <c r="SUW37" s="11"/>
      <c r="SUX37" s="11"/>
      <c r="SUY37" s="11"/>
      <c r="SUZ37" s="11"/>
      <c r="SVA37" s="11"/>
      <c r="SVB37" s="11"/>
      <c r="SVC37" s="11"/>
      <c r="SVD37" s="11"/>
      <c r="SVE37" s="11"/>
      <c r="SVF37" s="11"/>
      <c r="SVG37" s="11"/>
      <c r="SVH37" s="11"/>
      <c r="SVI37" s="11"/>
      <c r="SVJ37" s="11"/>
      <c r="SVK37" s="11"/>
      <c r="SVL37" s="11"/>
      <c r="SVM37" s="11"/>
      <c r="SVN37" s="11"/>
      <c r="SVO37" s="11"/>
      <c r="SVP37" s="11"/>
      <c r="SVQ37" s="11"/>
      <c r="SVR37" s="11"/>
      <c r="SVS37" s="11"/>
      <c r="SVT37" s="11"/>
      <c r="SVU37" s="11"/>
      <c r="SVV37" s="11"/>
      <c r="SVW37" s="11"/>
      <c r="SVX37" s="11"/>
      <c r="SVY37" s="11"/>
      <c r="SVZ37" s="11"/>
      <c r="SWA37" s="11"/>
      <c r="SWB37" s="11"/>
      <c r="SWC37" s="11"/>
      <c r="SWD37" s="11"/>
      <c r="SWE37" s="11"/>
      <c r="SWF37" s="11"/>
      <c r="SWG37" s="11"/>
      <c r="SWH37" s="11"/>
      <c r="SWI37" s="11"/>
      <c r="SWJ37" s="11"/>
      <c r="SWK37" s="11"/>
      <c r="SWL37" s="11"/>
      <c r="SWM37" s="11"/>
      <c r="SWN37" s="11"/>
      <c r="SWO37" s="11"/>
      <c r="SWP37" s="11"/>
      <c r="SWQ37" s="11"/>
      <c r="SWR37" s="11"/>
      <c r="SWS37" s="11"/>
      <c r="SWT37" s="11"/>
      <c r="SWU37" s="11"/>
      <c r="SWV37" s="11"/>
      <c r="SWW37" s="11"/>
      <c r="SWX37" s="11"/>
      <c r="SWY37" s="11"/>
      <c r="SWZ37" s="11"/>
      <c r="SXA37" s="11"/>
      <c r="SXB37" s="11"/>
      <c r="SXC37" s="11"/>
      <c r="SXD37" s="11"/>
      <c r="SXE37" s="11"/>
      <c r="SXF37" s="11"/>
      <c r="SXG37" s="11"/>
      <c r="SXH37" s="11"/>
      <c r="SXI37" s="11"/>
      <c r="SXJ37" s="11"/>
      <c r="SXK37" s="11"/>
      <c r="SXL37" s="11"/>
      <c r="SXM37" s="11"/>
      <c r="SXN37" s="11"/>
      <c r="SXO37" s="11"/>
      <c r="SXP37" s="11"/>
      <c r="SXQ37" s="11"/>
      <c r="SXR37" s="11"/>
      <c r="SXS37" s="11"/>
      <c r="SXT37" s="11"/>
      <c r="SXU37" s="11"/>
      <c r="SXV37" s="11"/>
      <c r="SXW37" s="11"/>
      <c r="SXX37" s="11"/>
      <c r="SXY37" s="11"/>
      <c r="SXZ37" s="11"/>
      <c r="SYA37" s="11"/>
      <c r="SYB37" s="11"/>
      <c r="SYC37" s="11"/>
      <c r="SYD37" s="11"/>
      <c r="SYE37" s="11"/>
      <c r="SYF37" s="11"/>
      <c r="SYG37" s="11"/>
      <c r="SYH37" s="11"/>
      <c r="SYI37" s="11"/>
      <c r="SYJ37" s="11"/>
      <c r="SYK37" s="11"/>
      <c r="SYL37" s="11"/>
      <c r="SYM37" s="11"/>
      <c r="SYN37" s="11"/>
      <c r="SYO37" s="11"/>
      <c r="SYP37" s="11"/>
      <c r="SYQ37" s="11"/>
      <c r="SYR37" s="11"/>
      <c r="SYS37" s="11"/>
      <c r="SYT37" s="11"/>
      <c r="SYU37" s="11"/>
      <c r="SYV37" s="11"/>
      <c r="SYW37" s="11"/>
      <c r="SYX37" s="11"/>
      <c r="SYY37" s="11"/>
      <c r="SYZ37" s="11"/>
      <c r="SZA37" s="11"/>
      <c r="SZB37" s="11"/>
      <c r="SZC37" s="11"/>
      <c r="SZD37" s="11"/>
      <c r="SZE37" s="11"/>
      <c r="SZF37" s="11"/>
      <c r="SZG37" s="11"/>
      <c r="SZH37" s="11"/>
      <c r="SZI37" s="11"/>
      <c r="SZJ37" s="11"/>
      <c r="SZK37" s="11"/>
      <c r="SZL37" s="11"/>
      <c r="SZM37" s="11"/>
      <c r="SZN37" s="11"/>
      <c r="SZO37" s="11"/>
      <c r="SZP37" s="11"/>
      <c r="SZQ37" s="11"/>
      <c r="SZR37" s="11"/>
      <c r="SZS37" s="11"/>
      <c r="SZT37" s="11"/>
      <c r="SZU37" s="11"/>
      <c r="SZV37" s="11"/>
      <c r="SZW37" s="11"/>
      <c r="SZX37" s="11"/>
      <c r="SZY37" s="11"/>
      <c r="SZZ37" s="11"/>
      <c r="TAA37" s="11"/>
      <c r="TAB37" s="11"/>
      <c r="TAC37" s="11"/>
      <c r="TAD37" s="11"/>
      <c r="TAE37" s="11"/>
      <c r="TAF37" s="11"/>
      <c r="TAG37" s="11"/>
      <c r="TAH37" s="11"/>
      <c r="TAI37" s="11"/>
      <c r="TAJ37" s="11"/>
      <c r="TAK37" s="11"/>
      <c r="TAL37" s="11"/>
      <c r="TAM37" s="11"/>
      <c r="TAN37" s="11"/>
      <c r="TAO37" s="11"/>
      <c r="TAP37" s="11"/>
      <c r="TAQ37" s="11"/>
      <c r="TAR37" s="11"/>
      <c r="TAS37" s="11"/>
      <c r="TAT37" s="11"/>
      <c r="TAU37" s="11"/>
      <c r="TAV37" s="11"/>
      <c r="TAW37" s="11"/>
      <c r="TAX37" s="11"/>
      <c r="TAY37" s="11"/>
      <c r="TAZ37" s="11"/>
      <c r="TBA37" s="11"/>
      <c r="TBB37" s="11"/>
      <c r="TBC37" s="11"/>
      <c r="TBD37" s="11"/>
      <c r="TBE37" s="11"/>
      <c r="TBF37" s="11"/>
      <c r="TBG37" s="11"/>
      <c r="TBH37" s="11"/>
      <c r="TBI37" s="11"/>
      <c r="TBJ37" s="11"/>
      <c r="TBK37" s="11"/>
      <c r="TBL37" s="11"/>
      <c r="TBM37" s="11"/>
      <c r="TBN37" s="11"/>
      <c r="TBO37" s="11"/>
      <c r="TBP37" s="11"/>
      <c r="TBQ37" s="11"/>
      <c r="TBR37" s="11"/>
      <c r="TBS37" s="11"/>
      <c r="TBT37" s="11"/>
      <c r="TBU37" s="11"/>
      <c r="TBV37" s="11"/>
      <c r="TBW37" s="11"/>
      <c r="TBX37" s="11"/>
      <c r="TBY37" s="11"/>
      <c r="TBZ37" s="11"/>
      <c r="TCA37" s="11"/>
      <c r="TCB37" s="11"/>
      <c r="TCC37" s="11"/>
      <c r="TCD37" s="11"/>
      <c r="TCE37" s="11"/>
      <c r="TCF37" s="11"/>
      <c r="TCG37" s="11"/>
      <c r="TCH37" s="11"/>
      <c r="TCI37" s="11"/>
      <c r="TCJ37" s="11"/>
      <c r="TCK37" s="11"/>
      <c r="TCL37" s="11"/>
      <c r="TCM37" s="11"/>
      <c r="TCN37" s="11"/>
      <c r="TCO37" s="11"/>
      <c r="TCP37" s="11"/>
      <c r="TCQ37" s="11"/>
      <c r="TCR37" s="11"/>
      <c r="TCS37" s="11"/>
      <c r="TCT37" s="11"/>
      <c r="TCU37" s="11"/>
      <c r="TCV37" s="11"/>
      <c r="TCW37" s="11"/>
      <c r="TCX37" s="11"/>
      <c r="TCY37" s="11"/>
      <c r="TCZ37" s="11"/>
      <c r="TDA37" s="11"/>
      <c r="TDB37" s="11"/>
      <c r="TDC37" s="11"/>
      <c r="TDD37" s="11"/>
      <c r="TDE37" s="11"/>
      <c r="TDF37" s="11"/>
      <c r="TDG37" s="11"/>
      <c r="TDH37" s="11"/>
      <c r="TDI37" s="11"/>
      <c r="TDJ37" s="11"/>
      <c r="TDK37" s="11"/>
      <c r="TDL37" s="11"/>
      <c r="TDM37" s="11"/>
      <c r="TDN37" s="11"/>
      <c r="TDO37" s="11"/>
      <c r="TDP37" s="11"/>
      <c r="TDQ37" s="11"/>
      <c r="TDR37" s="11"/>
      <c r="TDS37" s="11"/>
      <c r="TDT37" s="11"/>
      <c r="TDU37" s="11"/>
      <c r="TDV37" s="11"/>
      <c r="TDW37" s="11"/>
      <c r="TDX37" s="11"/>
      <c r="TDY37" s="11"/>
      <c r="TDZ37" s="11"/>
      <c r="TEA37" s="11"/>
      <c r="TEB37" s="11"/>
      <c r="TEC37" s="11"/>
      <c r="TED37" s="11"/>
      <c r="TEE37" s="11"/>
      <c r="TEF37" s="11"/>
      <c r="TEG37" s="11"/>
      <c r="TEH37" s="11"/>
      <c r="TEI37" s="11"/>
      <c r="TEJ37" s="11"/>
      <c r="TEK37" s="11"/>
      <c r="TEL37" s="11"/>
      <c r="TEM37" s="11"/>
      <c r="TEN37" s="11"/>
      <c r="TEO37" s="11"/>
      <c r="TEP37" s="11"/>
      <c r="TEQ37" s="11"/>
      <c r="TER37" s="11"/>
      <c r="TES37" s="11"/>
      <c r="TET37" s="11"/>
      <c r="TEU37" s="11"/>
      <c r="TEV37" s="11"/>
      <c r="TEW37" s="11"/>
      <c r="TEX37" s="11"/>
      <c r="TEY37" s="11"/>
      <c r="TEZ37" s="11"/>
      <c r="TFA37" s="11"/>
      <c r="TFB37" s="11"/>
      <c r="TFC37" s="11"/>
      <c r="TFD37" s="11"/>
      <c r="TFE37" s="11"/>
      <c r="TFF37" s="11"/>
      <c r="TFG37" s="11"/>
      <c r="TFH37" s="11"/>
      <c r="TFI37" s="11"/>
      <c r="TFJ37" s="11"/>
      <c r="TFK37" s="11"/>
      <c r="TFL37" s="11"/>
      <c r="TFM37" s="11"/>
      <c r="TFN37" s="11"/>
      <c r="TFO37" s="11"/>
      <c r="TFP37" s="11"/>
      <c r="TFQ37" s="11"/>
      <c r="TFR37" s="11"/>
      <c r="TFS37" s="11"/>
      <c r="TFT37" s="11"/>
      <c r="TFU37" s="11"/>
      <c r="TFV37" s="11"/>
      <c r="TFW37" s="11"/>
      <c r="TFX37" s="11"/>
      <c r="TFY37" s="11"/>
      <c r="TFZ37" s="11"/>
      <c r="TGA37" s="11"/>
      <c r="TGB37" s="11"/>
      <c r="TGC37" s="11"/>
      <c r="TGD37" s="11"/>
      <c r="TGE37" s="11"/>
      <c r="TGF37" s="11"/>
      <c r="TGG37" s="11"/>
      <c r="TGH37" s="11"/>
      <c r="TGI37" s="11"/>
      <c r="TGJ37" s="11"/>
      <c r="TGK37" s="11"/>
      <c r="TGL37" s="11"/>
      <c r="TGM37" s="11"/>
      <c r="TGN37" s="11"/>
      <c r="TGO37" s="11"/>
      <c r="TGP37" s="11"/>
      <c r="TGQ37" s="11"/>
      <c r="TGR37" s="11"/>
      <c r="TGS37" s="11"/>
      <c r="TGT37" s="11"/>
      <c r="TGU37" s="11"/>
      <c r="TGV37" s="11"/>
      <c r="TGW37" s="11"/>
      <c r="TGX37" s="11"/>
      <c r="TGY37" s="11"/>
      <c r="TGZ37" s="11"/>
      <c r="THA37" s="11"/>
      <c r="THB37" s="11"/>
      <c r="THC37" s="11"/>
      <c r="THD37" s="11"/>
      <c r="THE37" s="11"/>
      <c r="THF37" s="11"/>
      <c r="THG37" s="11"/>
      <c r="THH37" s="11"/>
      <c r="THI37" s="11"/>
      <c r="THJ37" s="11"/>
      <c r="THK37" s="11"/>
      <c r="THL37" s="11"/>
      <c r="THM37" s="11"/>
      <c r="THN37" s="11"/>
      <c r="THO37" s="11"/>
      <c r="THP37" s="11"/>
      <c r="THQ37" s="11"/>
      <c r="THR37" s="11"/>
      <c r="THS37" s="11"/>
      <c r="THT37" s="11"/>
      <c r="THU37" s="11"/>
      <c r="THV37" s="11"/>
      <c r="THW37" s="11"/>
      <c r="THX37" s="11"/>
      <c r="THY37" s="11"/>
      <c r="THZ37" s="11"/>
      <c r="TIA37" s="11"/>
      <c r="TIB37" s="11"/>
      <c r="TIC37" s="11"/>
      <c r="TID37" s="11"/>
      <c r="TIE37" s="11"/>
      <c r="TIF37" s="11"/>
      <c r="TIG37" s="11"/>
      <c r="TIH37" s="11"/>
      <c r="TII37" s="11"/>
      <c r="TIJ37" s="11"/>
      <c r="TIK37" s="11"/>
      <c r="TIL37" s="11"/>
      <c r="TIM37" s="11"/>
      <c r="TIN37" s="11"/>
      <c r="TIO37" s="11"/>
      <c r="TIP37" s="11"/>
      <c r="TIQ37" s="11"/>
      <c r="TIR37" s="11"/>
      <c r="TIS37" s="11"/>
      <c r="TIT37" s="11"/>
      <c r="TIU37" s="11"/>
      <c r="TIV37" s="11"/>
      <c r="TIW37" s="11"/>
      <c r="TIX37" s="11"/>
      <c r="TIY37" s="11"/>
      <c r="TIZ37" s="11"/>
      <c r="TJA37" s="11"/>
      <c r="TJB37" s="11"/>
      <c r="TJC37" s="11"/>
      <c r="TJD37" s="11"/>
      <c r="TJE37" s="11"/>
      <c r="TJF37" s="11"/>
      <c r="TJG37" s="11"/>
      <c r="TJH37" s="11"/>
      <c r="TJI37" s="11"/>
      <c r="TJJ37" s="11"/>
      <c r="TJK37" s="11"/>
      <c r="TJL37" s="11"/>
      <c r="TJM37" s="11"/>
      <c r="TJN37" s="11"/>
      <c r="TJO37" s="11"/>
      <c r="TJP37" s="11"/>
      <c r="TJQ37" s="11"/>
      <c r="TJR37" s="11"/>
      <c r="TJS37" s="11"/>
      <c r="TJT37" s="11"/>
      <c r="TJU37" s="11"/>
      <c r="TJV37" s="11"/>
      <c r="TJW37" s="11"/>
      <c r="TJX37" s="11"/>
      <c r="TJY37" s="11"/>
      <c r="TJZ37" s="11"/>
      <c r="TKA37" s="11"/>
      <c r="TKB37" s="11"/>
      <c r="TKC37" s="11"/>
      <c r="TKD37" s="11"/>
      <c r="TKE37" s="11"/>
      <c r="TKF37" s="11"/>
      <c r="TKG37" s="11"/>
      <c r="TKH37" s="11"/>
      <c r="TKI37" s="11"/>
      <c r="TKJ37" s="11"/>
      <c r="TKK37" s="11"/>
      <c r="TKL37" s="11"/>
      <c r="TKM37" s="11"/>
      <c r="TKN37" s="11"/>
      <c r="TKO37" s="11"/>
      <c r="TKP37" s="11"/>
      <c r="TKQ37" s="11"/>
      <c r="TKR37" s="11"/>
      <c r="TKS37" s="11"/>
      <c r="TKT37" s="11"/>
      <c r="TKU37" s="11"/>
      <c r="TKV37" s="11"/>
      <c r="TKW37" s="11"/>
      <c r="TKX37" s="11"/>
      <c r="TKY37" s="11"/>
      <c r="TKZ37" s="11"/>
      <c r="TLA37" s="11"/>
      <c r="TLB37" s="11"/>
      <c r="TLC37" s="11"/>
      <c r="TLD37" s="11"/>
      <c r="TLE37" s="11"/>
      <c r="TLF37" s="11"/>
      <c r="TLG37" s="11"/>
      <c r="TLH37" s="11"/>
      <c r="TLI37" s="11"/>
      <c r="TLJ37" s="11"/>
      <c r="TLK37" s="11"/>
      <c r="TLL37" s="11"/>
      <c r="TLM37" s="11"/>
      <c r="TLN37" s="11"/>
      <c r="TLO37" s="11"/>
      <c r="TLP37" s="11"/>
      <c r="TLQ37" s="11"/>
      <c r="TLR37" s="11"/>
      <c r="TLS37" s="11"/>
      <c r="TLT37" s="11"/>
      <c r="TLU37" s="11"/>
      <c r="TLV37" s="11"/>
      <c r="TLW37" s="11"/>
      <c r="TLX37" s="11"/>
      <c r="TLY37" s="11"/>
      <c r="TLZ37" s="11"/>
      <c r="TMA37" s="11"/>
      <c r="TMB37" s="11"/>
      <c r="TMC37" s="11"/>
      <c r="TMD37" s="11"/>
      <c r="TME37" s="11"/>
      <c r="TMF37" s="11"/>
      <c r="TMG37" s="11"/>
      <c r="TMH37" s="11"/>
      <c r="TMI37" s="11"/>
      <c r="TMJ37" s="11"/>
      <c r="TMK37" s="11"/>
      <c r="TML37" s="11"/>
      <c r="TMM37" s="11"/>
      <c r="TMN37" s="11"/>
      <c r="TMO37" s="11"/>
      <c r="TMP37" s="11"/>
      <c r="TMQ37" s="11"/>
      <c r="TMR37" s="11"/>
      <c r="TMS37" s="11"/>
      <c r="TMT37" s="11"/>
      <c r="TMU37" s="11"/>
      <c r="TMV37" s="11"/>
      <c r="TMW37" s="11"/>
      <c r="TMX37" s="11"/>
      <c r="TMY37" s="11"/>
      <c r="TMZ37" s="11"/>
      <c r="TNA37" s="11"/>
      <c r="TNB37" s="11"/>
      <c r="TNC37" s="11"/>
      <c r="TND37" s="11"/>
      <c r="TNE37" s="11"/>
      <c r="TNF37" s="11"/>
      <c r="TNG37" s="11"/>
      <c r="TNH37" s="11"/>
      <c r="TNI37" s="11"/>
      <c r="TNJ37" s="11"/>
      <c r="TNK37" s="11"/>
      <c r="TNL37" s="11"/>
      <c r="TNM37" s="11"/>
      <c r="TNN37" s="11"/>
      <c r="TNO37" s="11"/>
      <c r="TNP37" s="11"/>
      <c r="TNQ37" s="11"/>
      <c r="TNR37" s="11"/>
      <c r="TNS37" s="11"/>
      <c r="TNT37" s="11"/>
      <c r="TNU37" s="11"/>
      <c r="TNV37" s="11"/>
      <c r="TNW37" s="11"/>
      <c r="TNX37" s="11"/>
      <c r="TNY37" s="11"/>
      <c r="TNZ37" s="11"/>
      <c r="TOA37" s="11"/>
      <c r="TOB37" s="11"/>
      <c r="TOC37" s="11"/>
      <c r="TOD37" s="11"/>
      <c r="TOE37" s="11"/>
      <c r="TOF37" s="11"/>
      <c r="TOG37" s="11"/>
      <c r="TOH37" s="11"/>
      <c r="TOI37" s="11"/>
      <c r="TOJ37" s="11"/>
      <c r="TOK37" s="11"/>
      <c r="TOL37" s="11"/>
      <c r="TOM37" s="11"/>
      <c r="TON37" s="11"/>
      <c r="TOO37" s="11"/>
      <c r="TOP37" s="11"/>
      <c r="TOQ37" s="11"/>
      <c r="TOR37" s="11"/>
      <c r="TOS37" s="11"/>
      <c r="TOT37" s="11"/>
      <c r="TOU37" s="11"/>
      <c r="TOV37" s="11"/>
      <c r="TOW37" s="11"/>
      <c r="TOX37" s="11"/>
      <c r="TOY37" s="11"/>
      <c r="TOZ37" s="11"/>
      <c r="TPA37" s="11"/>
      <c r="TPB37" s="11"/>
      <c r="TPC37" s="11"/>
      <c r="TPD37" s="11"/>
      <c r="TPE37" s="11"/>
      <c r="TPF37" s="11"/>
      <c r="TPG37" s="11"/>
      <c r="TPH37" s="11"/>
      <c r="TPI37" s="11"/>
      <c r="TPJ37" s="11"/>
      <c r="TPK37" s="11"/>
      <c r="TPL37" s="11"/>
      <c r="TPM37" s="11"/>
      <c r="TPN37" s="11"/>
      <c r="TPO37" s="11"/>
      <c r="TPP37" s="11"/>
      <c r="TPQ37" s="11"/>
      <c r="TPR37" s="11"/>
      <c r="TPS37" s="11"/>
      <c r="TPT37" s="11"/>
      <c r="TPU37" s="11"/>
      <c r="TPV37" s="11"/>
      <c r="TPW37" s="11"/>
      <c r="TPX37" s="11"/>
      <c r="TPY37" s="11"/>
      <c r="TPZ37" s="11"/>
      <c r="TQA37" s="11"/>
      <c r="TQB37" s="11"/>
      <c r="TQC37" s="11"/>
      <c r="TQD37" s="11"/>
      <c r="TQE37" s="11"/>
      <c r="TQF37" s="11"/>
      <c r="TQG37" s="11"/>
      <c r="TQH37" s="11"/>
      <c r="TQI37" s="11"/>
      <c r="TQJ37" s="11"/>
      <c r="TQK37" s="11"/>
      <c r="TQL37" s="11"/>
      <c r="TQM37" s="11"/>
      <c r="TQN37" s="11"/>
      <c r="TQO37" s="11"/>
      <c r="TQP37" s="11"/>
      <c r="TQQ37" s="11"/>
      <c r="TQR37" s="11"/>
      <c r="TQS37" s="11"/>
      <c r="TQT37" s="11"/>
      <c r="TQU37" s="11"/>
      <c r="TQV37" s="11"/>
      <c r="TQW37" s="11"/>
      <c r="TQX37" s="11"/>
      <c r="TQY37" s="11"/>
      <c r="TQZ37" s="11"/>
      <c r="TRA37" s="11"/>
      <c r="TRB37" s="11"/>
      <c r="TRC37" s="11"/>
      <c r="TRD37" s="11"/>
      <c r="TRE37" s="11"/>
      <c r="TRF37" s="11"/>
      <c r="TRG37" s="11"/>
      <c r="TRH37" s="11"/>
      <c r="TRI37" s="11"/>
      <c r="TRJ37" s="11"/>
      <c r="TRK37" s="11"/>
      <c r="TRL37" s="11"/>
      <c r="TRM37" s="11"/>
      <c r="TRN37" s="11"/>
      <c r="TRO37" s="11"/>
      <c r="TRP37" s="11"/>
      <c r="TRQ37" s="11"/>
      <c r="TRR37" s="11"/>
      <c r="TRS37" s="11"/>
      <c r="TRT37" s="11"/>
      <c r="TRU37" s="11"/>
      <c r="TRV37" s="11"/>
      <c r="TRW37" s="11"/>
      <c r="TRX37" s="11"/>
      <c r="TRY37" s="11"/>
      <c r="TRZ37" s="11"/>
      <c r="TSA37" s="11"/>
      <c r="TSB37" s="11"/>
      <c r="TSC37" s="11"/>
      <c r="TSD37" s="11"/>
      <c r="TSE37" s="11"/>
      <c r="TSF37" s="11"/>
      <c r="TSG37" s="11"/>
      <c r="TSH37" s="11"/>
      <c r="TSI37" s="11"/>
      <c r="TSJ37" s="11"/>
      <c r="TSK37" s="11"/>
      <c r="TSL37" s="11"/>
      <c r="TSM37" s="11"/>
      <c r="TSN37" s="11"/>
      <c r="TSO37" s="11"/>
      <c r="TSP37" s="11"/>
      <c r="TSQ37" s="11"/>
      <c r="TSR37" s="11"/>
      <c r="TSS37" s="11"/>
      <c r="TST37" s="11"/>
      <c r="TSU37" s="11"/>
      <c r="TSV37" s="11"/>
      <c r="TSW37" s="11"/>
      <c r="TSX37" s="11"/>
      <c r="TSY37" s="11"/>
      <c r="TSZ37" s="11"/>
      <c r="TTA37" s="11"/>
      <c r="TTB37" s="11"/>
      <c r="TTC37" s="11"/>
      <c r="TTD37" s="11"/>
      <c r="TTE37" s="11"/>
      <c r="TTF37" s="11"/>
      <c r="TTG37" s="11"/>
      <c r="TTH37" s="11"/>
      <c r="TTI37" s="11"/>
      <c r="TTJ37" s="11"/>
      <c r="TTK37" s="11"/>
      <c r="TTL37" s="11"/>
      <c r="TTM37" s="11"/>
      <c r="TTN37" s="11"/>
      <c r="TTO37" s="11"/>
      <c r="TTP37" s="11"/>
      <c r="TTQ37" s="11"/>
      <c r="TTR37" s="11"/>
      <c r="TTS37" s="11"/>
      <c r="TTT37" s="11"/>
      <c r="TTU37" s="11"/>
      <c r="TTV37" s="11"/>
      <c r="TTW37" s="11"/>
      <c r="TTX37" s="11"/>
      <c r="TTY37" s="11"/>
      <c r="TTZ37" s="11"/>
      <c r="TUA37" s="11"/>
      <c r="TUB37" s="11"/>
      <c r="TUC37" s="11"/>
      <c r="TUD37" s="11"/>
      <c r="TUE37" s="11"/>
      <c r="TUF37" s="11"/>
      <c r="TUG37" s="11"/>
      <c r="TUH37" s="11"/>
      <c r="TUI37" s="11"/>
      <c r="TUJ37" s="11"/>
      <c r="TUK37" s="11"/>
      <c r="TUL37" s="11"/>
      <c r="TUM37" s="11"/>
      <c r="TUN37" s="11"/>
      <c r="TUO37" s="11"/>
      <c r="TUP37" s="11"/>
      <c r="TUQ37" s="11"/>
      <c r="TUR37" s="11"/>
      <c r="TUS37" s="11"/>
      <c r="TUT37" s="11"/>
      <c r="TUU37" s="11"/>
      <c r="TUV37" s="11"/>
      <c r="TUW37" s="11"/>
      <c r="TUX37" s="11"/>
      <c r="TUY37" s="11"/>
      <c r="TUZ37" s="11"/>
      <c r="TVA37" s="11"/>
      <c r="TVB37" s="11"/>
      <c r="TVC37" s="11"/>
      <c r="TVD37" s="11"/>
      <c r="TVE37" s="11"/>
      <c r="TVF37" s="11"/>
      <c r="TVG37" s="11"/>
      <c r="TVH37" s="11"/>
      <c r="TVI37" s="11"/>
      <c r="TVJ37" s="11"/>
      <c r="TVK37" s="11"/>
      <c r="TVL37" s="11"/>
      <c r="TVM37" s="11"/>
      <c r="TVN37" s="11"/>
      <c r="TVO37" s="11"/>
      <c r="TVP37" s="11"/>
      <c r="TVQ37" s="11"/>
      <c r="TVR37" s="11"/>
      <c r="TVS37" s="11"/>
      <c r="TVT37" s="11"/>
      <c r="TVU37" s="11"/>
      <c r="TVV37" s="11"/>
      <c r="TVW37" s="11"/>
      <c r="TVX37" s="11"/>
      <c r="TVY37" s="11"/>
      <c r="TVZ37" s="11"/>
      <c r="TWA37" s="11"/>
      <c r="TWB37" s="11"/>
      <c r="TWC37" s="11"/>
      <c r="TWD37" s="11"/>
      <c r="TWE37" s="11"/>
      <c r="TWF37" s="11"/>
      <c r="TWG37" s="11"/>
      <c r="TWH37" s="11"/>
      <c r="TWI37" s="11"/>
      <c r="TWJ37" s="11"/>
      <c r="TWK37" s="11"/>
      <c r="TWL37" s="11"/>
      <c r="TWM37" s="11"/>
      <c r="TWN37" s="11"/>
      <c r="TWO37" s="11"/>
      <c r="TWP37" s="11"/>
      <c r="TWQ37" s="11"/>
      <c r="TWR37" s="11"/>
      <c r="TWS37" s="11"/>
      <c r="TWT37" s="11"/>
      <c r="TWU37" s="11"/>
      <c r="TWV37" s="11"/>
      <c r="TWW37" s="11"/>
      <c r="TWX37" s="11"/>
      <c r="TWY37" s="11"/>
      <c r="TWZ37" s="11"/>
      <c r="TXA37" s="11"/>
      <c r="TXB37" s="11"/>
      <c r="TXC37" s="11"/>
      <c r="TXD37" s="11"/>
      <c r="TXE37" s="11"/>
      <c r="TXF37" s="11"/>
      <c r="TXG37" s="11"/>
      <c r="TXH37" s="11"/>
      <c r="TXI37" s="11"/>
      <c r="TXJ37" s="11"/>
      <c r="TXK37" s="11"/>
      <c r="TXL37" s="11"/>
      <c r="TXM37" s="11"/>
      <c r="TXN37" s="11"/>
      <c r="TXO37" s="11"/>
      <c r="TXP37" s="11"/>
      <c r="TXQ37" s="11"/>
      <c r="TXR37" s="11"/>
      <c r="TXS37" s="11"/>
      <c r="TXT37" s="11"/>
      <c r="TXU37" s="11"/>
      <c r="TXV37" s="11"/>
      <c r="TXW37" s="11"/>
      <c r="TXX37" s="11"/>
      <c r="TXY37" s="11"/>
      <c r="TXZ37" s="11"/>
      <c r="TYA37" s="11"/>
      <c r="TYB37" s="11"/>
      <c r="TYC37" s="11"/>
      <c r="TYD37" s="11"/>
      <c r="TYE37" s="11"/>
      <c r="TYF37" s="11"/>
      <c r="TYG37" s="11"/>
      <c r="TYH37" s="11"/>
      <c r="TYI37" s="11"/>
      <c r="TYJ37" s="11"/>
      <c r="TYK37" s="11"/>
      <c r="TYL37" s="11"/>
      <c r="TYM37" s="11"/>
      <c r="TYN37" s="11"/>
      <c r="TYO37" s="11"/>
      <c r="TYP37" s="11"/>
      <c r="TYQ37" s="11"/>
      <c r="TYR37" s="11"/>
      <c r="TYS37" s="11"/>
      <c r="TYT37" s="11"/>
      <c r="TYU37" s="11"/>
      <c r="TYV37" s="11"/>
      <c r="TYW37" s="11"/>
      <c r="TYX37" s="11"/>
      <c r="TYY37" s="11"/>
      <c r="TYZ37" s="11"/>
      <c r="TZA37" s="11"/>
      <c r="TZB37" s="11"/>
      <c r="TZC37" s="11"/>
      <c r="TZD37" s="11"/>
      <c r="TZE37" s="11"/>
      <c r="TZF37" s="11"/>
      <c r="TZG37" s="11"/>
      <c r="TZH37" s="11"/>
      <c r="TZI37" s="11"/>
      <c r="TZJ37" s="11"/>
      <c r="TZK37" s="11"/>
      <c r="TZL37" s="11"/>
      <c r="TZM37" s="11"/>
      <c r="TZN37" s="11"/>
      <c r="TZO37" s="11"/>
      <c r="TZP37" s="11"/>
      <c r="TZQ37" s="11"/>
      <c r="TZR37" s="11"/>
      <c r="TZS37" s="11"/>
      <c r="TZT37" s="11"/>
      <c r="TZU37" s="11"/>
      <c r="TZV37" s="11"/>
      <c r="TZW37" s="11"/>
      <c r="TZX37" s="11"/>
      <c r="TZY37" s="11"/>
      <c r="TZZ37" s="11"/>
      <c r="UAA37" s="11"/>
      <c r="UAB37" s="11"/>
      <c r="UAC37" s="11"/>
      <c r="UAD37" s="11"/>
      <c r="UAE37" s="11"/>
      <c r="UAF37" s="11"/>
      <c r="UAG37" s="11"/>
      <c r="UAH37" s="11"/>
      <c r="UAI37" s="11"/>
      <c r="UAJ37" s="11"/>
      <c r="UAK37" s="11"/>
      <c r="UAL37" s="11"/>
      <c r="UAM37" s="11"/>
      <c r="UAN37" s="11"/>
      <c r="UAO37" s="11"/>
      <c r="UAP37" s="11"/>
      <c r="UAQ37" s="11"/>
      <c r="UAR37" s="11"/>
      <c r="UAS37" s="11"/>
      <c r="UAT37" s="11"/>
      <c r="UAU37" s="11"/>
      <c r="UAV37" s="11"/>
      <c r="UAW37" s="11"/>
      <c r="UAX37" s="11"/>
      <c r="UAY37" s="11"/>
      <c r="UAZ37" s="11"/>
      <c r="UBA37" s="11"/>
      <c r="UBB37" s="11"/>
      <c r="UBC37" s="11"/>
      <c r="UBD37" s="11"/>
      <c r="UBE37" s="11"/>
      <c r="UBF37" s="11"/>
      <c r="UBG37" s="11"/>
      <c r="UBH37" s="11"/>
      <c r="UBI37" s="11"/>
      <c r="UBJ37" s="11"/>
      <c r="UBK37" s="11"/>
      <c r="UBL37" s="11"/>
      <c r="UBM37" s="11"/>
      <c r="UBN37" s="11"/>
      <c r="UBO37" s="11"/>
      <c r="UBP37" s="11"/>
      <c r="UBQ37" s="11"/>
      <c r="UBR37" s="11"/>
      <c r="UBS37" s="11"/>
      <c r="UBT37" s="11"/>
      <c r="UBU37" s="11"/>
      <c r="UBV37" s="11"/>
      <c r="UBW37" s="11"/>
      <c r="UBX37" s="11"/>
      <c r="UBY37" s="11"/>
      <c r="UBZ37" s="11"/>
      <c r="UCA37" s="11"/>
      <c r="UCB37" s="11"/>
      <c r="UCC37" s="11"/>
      <c r="UCD37" s="11"/>
      <c r="UCE37" s="11"/>
      <c r="UCF37" s="11"/>
      <c r="UCG37" s="11"/>
      <c r="UCH37" s="11"/>
      <c r="UCI37" s="11"/>
      <c r="UCJ37" s="11"/>
      <c r="UCK37" s="11"/>
      <c r="UCL37" s="11"/>
      <c r="UCM37" s="11"/>
      <c r="UCN37" s="11"/>
      <c r="UCO37" s="11"/>
      <c r="UCP37" s="11"/>
      <c r="UCQ37" s="11"/>
      <c r="UCR37" s="11"/>
      <c r="UCS37" s="11"/>
      <c r="UCT37" s="11"/>
      <c r="UCU37" s="11"/>
      <c r="UCV37" s="11"/>
      <c r="UCW37" s="11"/>
      <c r="UCX37" s="11"/>
      <c r="UCY37" s="11"/>
      <c r="UCZ37" s="11"/>
      <c r="UDA37" s="11"/>
      <c r="UDB37" s="11"/>
      <c r="UDC37" s="11"/>
      <c r="UDD37" s="11"/>
      <c r="UDE37" s="11"/>
      <c r="UDF37" s="11"/>
      <c r="UDG37" s="11"/>
      <c r="UDH37" s="11"/>
      <c r="UDI37" s="11"/>
      <c r="UDJ37" s="11"/>
      <c r="UDK37" s="11"/>
      <c r="UDL37" s="11"/>
      <c r="UDM37" s="11"/>
      <c r="UDN37" s="11"/>
      <c r="UDO37" s="11"/>
      <c r="UDP37" s="11"/>
      <c r="UDQ37" s="11"/>
      <c r="UDR37" s="11"/>
      <c r="UDS37" s="11"/>
      <c r="UDT37" s="11"/>
      <c r="UDU37" s="11"/>
      <c r="UDV37" s="11"/>
      <c r="UDW37" s="11"/>
      <c r="UDX37" s="11"/>
      <c r="UDY37" s="11"/>
      <c r="UDZ37" s="11"/>
      <c r="UEA37" s="11"/>
      <c r="UEB37" s="11"/>
      <c r="UEC37" s="11"/>
      <c r="UED37" s="11"/>
      <c r="UEE37" s="11"/>
      <c r="UEF37" s="11"/>
      <c r="UEG37" s="11"/>
      <c r="UEH37" s="11"/>
      <c r="UEI37" s="11"/>
      <c r="UEJ37" s="11"/>
      <c r="UEK37" s="11"/>
      <c r="UEL37" s="11"/>
      <c r="UEM37" s="11"/>
      <c r="UEN37" s="11"/>
      <c r="UEO37" s="11"/>
      <c r="UEP37" s="11"/>
      <c r="UEQ37" s="11"/>
      <c r="UER37" s="11"/>
      <c r="UES37" s="11"/>
      <c r="UET37" s="11"/>
      <c r="UEU37" s="11"/>
      <c r="UEV37" s="11"/>
      <c r="UEW37" s="11"/>
      <c r="UEX37" s="11"/>
      <c r="UEY37" s="11"/>
      <c r="UEZ37" s="11"/>
      <c r="UFA37" s="11"/>
      <c r="UFB37" s="11"/>
      <c r="UFC37" s="11"/>
      <c r="UFD37" s="11"/>
      <c r="UFE37" s="11"/>
      <c r="UFF37" s="11"/>
      <c r="UFG37" s="11"/>
      <c r="UFH37" s="11"/>
      <c r="UFI37" s="11"/>
      <c r="UFJ37" s="11"/>
      <c r="UFK37" s="11"/>
      <c r="UFL37" s="11"/>
      <c r="UFM37" s="11"/>
      <c r="UFN37" s="11"/>
      <c r="UFO37" s="11"/>
      <c r="UFP37" s="11"/>
      <c r="UFQ37" s="11"/>
      <c r="UFR37" s="11"/>
      <c r="UFS37" s="11"/>
      <c r="UFT37" s="11"/>
      <c r="UFU37" s="11"/>
      <c r="UFV37" s="11"/>
      <c r="UFW37" s="11"/>
      <c r="UFX37" s="11"/>
      <c r="UFY37" s="11"/>
      <c r="UFZ37" s="11"/>
      <c r="UGA37" s="11"/>
      <c r="UGB37" s="11"/>
      <c r="UGC37" s="11"/>
      <c r="UGD37" s="11"/>
      <c r="UGE37" s="11"/>
      <c r="UGF37" s="11"/>
      <c r="UGG37" s="11"/>
      <c r="UGH37" s="11"/>
      <c r="UGI37" s="11"/>
      <c r="UGJ37" s="11"/>
      <c r="UGK37" s="11"/>
      <c r="UGL37" s="11"/>
      <c r="UGM37" s="11"/>
      <c r="UGN37" s="11"/>
      <c r="UGO37" s="11"/>
      <c r="UGP37" s="11"/>
      <c r="UGQ37" s="11"/>
      <c r="UGR37" s="11"/>
      <c r="UGS37" s="11"/>
      <c r="UGT37" s="11"/>
      <c r="UGU37" s="11"/>
      <c r="UGV37" s="11"/>
      <c r="UGW37" s="11"/>
      <c r="UGX37" s="11"/>
      <c r="UGY37" s="11"/>
      <c r="UGZ37" s="11"/>
      <c r="UHA37" s="11"/>
      <c r="UHB37" s="11"/>
      <c r="UHC37" s="11"/>
      <c r="UHD37" s="11"/>
      <c r="UHE37" s="11"/>
      <c r="UHF37" s="11"/>
      <c r="UHG37" s="11"/>
      <c r="UHH37" s="11"/>
      <c r="UHI37" s="11"/>
      <c r="UHJ37" s="11"/>
      <c r="UHK37" s="11"/>
      <c r="UHL37" s="11"/>
      <c r="UHM37" s="11"/>
      <c r="UHN37" s="11"/>
      <c r="UHO37" s="11"/>
      <c r="UHP37" s="11"/>
      <c r="UHQ37" s="11"/>
      <c r="UHR37" s="11"/>
      <c r="UHS37" s="11"/>
      <c r="UHT37" s="11"/>
      <c r="UHU37" s="11"/>
      <c r="UHV37" s="11"/>
      <c r="UHW37" s="11"/>
      <c r="UHX37" s="11"/>
      <c r="UHY37" s="11"/>
      <c r="UHZ37" s="11"/>
      <c r="UIA37" s="11"/>
      <c r="UIB37" s="11"/>
      <c r="UIC37" s="11"/>
      <c r="UID37" s="11"/>
      <c r="UIE37" s="11"/>
      <c r="UIF37" s="11"/>
      <c r="UIG37" s="11"/>
      <c r="UIH37" s="11"/>
      <c r="UII37" s="11"/>
      <c r="UIJ37" s="11"/>
      <c r="UIK37" s="11"/>
      <c r="UIL37" s="11"/>
      <c r="UIM37" s="11"/>
      <c r="UIN37" s="11"/>
      <c r="UIO37" s="11"/>
      <c r="UIP37" s="11"/>
      <c r="UIQ37" s="11"/>
      <c r="UIR37" s="11"/>
      <c r="UIS37" s="11"/>
      <c r="UIT37" s="11"/>
      <c r="UIU37" s="11"/>
      <c r="UIV37" s="11"/>
      <c r="UIW37" s="11"/>
      <c r="UIX37" s="11"/>
      <c r="UIY37" s="11"/>
      <c r="UIZ37" s="11"/>
      <c r="UJA37" s="11"/>
      <c r="UJB37" s="11"/>
      <c r="UJC37" s="11"/>
      <c r="UJD37" s="11"/>
      <c r="UJE37" s="11"/>
      <c r="UJF37" s="11"/>
      <c r="UJG37" s="11"/>
      <c r="UJH37" s="11"/>
      <c r="UJI37" s="11"/>
      <c r="UJJ37" s="11"/>
      <c r="UJK37" s="11"/>
      <c r="UJL37" s="11"/>
      <c r="UJM37" s="11"/>
      <c r="UJN37" s="11"/>
      <c r="UJO37" s="11"/>
      <c r="UJP37" s="11"/>
      <c r="UJQ37" s="11"/>
      <c r="UJR37" s="11"/>
      <c r="UJS37" s="11"/>
      <c r="UJT37" s="11"/>
      <c r="UJU37" s="11"/>
      <c r="UJV37" s="11"/>
      <c r="UJW37" s="11"/>
      <c r="UJX37" s="11"/>
      <c r="UJY37" s="11"/>
      <c r="UJZ37" s="11"/>
      <c r="UKA37" s="11"/>
      <c r="UKB37" s="11"/>
      <c r="UKC37" s="11"/>
      <c r="UKD37" s="11"/>
      <c r="UKE37" s="11"/>
      <c r="UKF37" s="11"/>
      <c r="UKG37" s="11"/>
      <c r="UKH37" s="11"/>
      <c r="UKI37" s="11"/>
      <c r="UKJ37" s="11"/>
      <c r="UKK37" s="11"/>
      <c r="UKL37" s="11"/>
      <c r="UKM37" s="11"/>
      <c r="UKN37" s="11"/>
      <c r="UKO37" s="11"/>
      <c r="UKP37" s="11"/>
      <c r="UKQ37" s="11"/>
      <c r="UKR37" s="11"/>
      <c r="UKS37" s="11"/>
      <c r="UKT37" s="11"/>
      <c r="UKU37" s="11"/>
      <c r="UKV37" s="11"/>
      <c r="UKW37" s="11"/>
      <c r="UKX37" s="11"/>
      <c r="UKY37" s="11"/>
      <c r="UKZ37" s="11"/>
      <c r="ULA37" s="11"/>
      <c r="ULB37" s="11"/>
      <c r="ULC37" s="11"/>
      <c r="ULD37" s="11"/>
      <c r="ULE37" s="11"/>
      <c r="ULF37" s="11"/>
      <c r="ULG37" s="11"/>
      <c r="ULH37" s="11"/>
      <c r="ULI37" s="11"/>
      <c r="ULJ37" s="11"/>
      <c r="ULK37" s="11"/>
      <c r="ULL37" s="11"/>
      <c r="ULM37" s="11"/>
      <c r="ULN37" s="11"/>
      <c r="ULO37" s="11"/>
      <c r="ULP37" s="11"/>
      <c r="ULQ37" s="11"/>
      <c r="ULR37" s="11"/>
      <c r="ULS37" s="11"/>
      <c r="ULT37" s="11"/>
      <c r="ULU37" s="11"/>
      <c r="ULV37" s="11"/>
      <c r="ULW37" s="11"/>
      <c r="ULX37" s="11"/>
      <c r="ULY37" s="11"/>
      <c r="ULZ37" s="11"/>
      <c r="UMA37" s="11"/>
      <c r="UMB37" s="11"/>
      <c r="UMC37" s="11"/>
      <c r="UMD37" s="11"/>
      <c r="UME37" s="11"/>
      <c r="UMF37" s="11"/>
      <c r="UMG37" s="11"/>
      <c r="UMH37" s="11"/>
      <c r="UMI37" s="11"/>
      <c r="UMJ37" s="11"/>
      <c r="UMK37" s="11"/>
      <c r="UML37" s="11"/>
      <c r="UMM37" s="11"/>
      <c r="UMN37" s="11"/>
      <c r="UMO37" s="11"/>
      <c r="UMP37" s="11"/>
      <c r="UMQ37" s="11"/>
      <c r="UMR37" s="11"/>
      <c r="UMS37" s="11"/>
      <c r="UMT37" s="11"/>
      <c r="UMU37" s="11"/>
      <c r="UMV37" s="11"/>
      <c r="UMW37" s="11"/>
      <c r="UMX37" s="11"/>
      <c r="UMY37" s="11"/>
      <c r="UMZ37" s="11"/>
      <c r="UNA37" s="11"/>
      <c r="UNB37" s="11"/>
      <c r="UNC37" s="11"/>
      <c r="UND37" s="11"/>
      <c r="UNE37" s="11"/>
      <c r="UNF37" s="11"/>
      <c r="UNG37" s="11"/>
      <c r="UNH37" s="11"/>
      <c r="UNI37" s="11"/>
      <c r="UNJ37" s="11"/>
      <c r="UNK37" s="11"/>
      <c r="UNL37" s="11"/>
      <c r="UNM37" s="11"/>
      <c r="UNN37" s="11"/>
      <c r="UNO37" s="11"/>
      <c r="UNP37" s="11"/>
      <c r="UNQ37" s="11"/>
      <c r="UNR37" s="11"/>
      <c r="UNS37" s="11"/>
      <c r="UNT37" s="11"/>
      <c r="UNU37" s="11"/>
      <c r="UNV37" s="11"/>
      <c r="UNW37" s="11"/>
      <c r="UNX37" s="11"/>
      <c r="UNY37" s="11"/>
      <c r="UNZ37" s="11"/>
      <c r="UOA37" s="11"/>
      <c r="UOB37" s="11"/>
      <c r="UOC37" s="11"/>
      <c r="UOD37" s="11"/>
      <c r="UOE37" s="11"/>
      <c r="UOF37" s="11"/>
      <c r="UOG37" s="11"/>
      <c r="UOH37" s="11"/>
      <c r="UOI37" s="11"/>
      <c r="UOJ37" s="11"/>
      <c r="UOK37" s="11"/>
      <c r="UOL37" s="11"/>
      <c r="UOM37" s="11"/>
      <c r="UON37" s="11"/>
      <c r="UOO37" s="11"/>
      <c r="UOP37" s="11"/>
      <c r="UOQ37" s="11"/>
      <c r="UOR37" s="11"/>
      <c r="UOS37" s="11"/>
      <c r="UOT37" s="11"/>
      <c r="UOU37" s="11"/>
      <c r="UOV37" s="11"/>
      <c r="UOW37" s="11"/>
      <c r="UOX37" s="11"/>
      <c r="UOY37" s="11"/>
      <c r="UOZ37" s="11"/>
      <c r="UPA37" s="11"/>
      <c r="UPB37" s="11"/>
      <c r="UPC37" s="11"/>
      <c r="UPD37" s="11"/>
      <c r="UPE37" s="11"/>
      <c r="UPF37" s="11"/>
      <c r="UPG37" s="11"/>
      <c r="UPH37" s="11"/>
      <c r="UPI37" s="11"/>
      <c r="UPJ37" s="11"/>
      <c r="UPK37" s="11"/>
      <c r="UPL37" s="11"/>
      <c r="UPM37" s="11"/>
      <c r="UPN37" s="11"/>
      <c r="UPO37" s="11"/>
      <c r="UPP37" s="11"/>
      <c r="UPQ37" s="11"/>
      <c r="UPR37" s="11"/>
      <c r="UPS37" s="11"/>
      <c r="UPT37" s="11"/>
      <c r="UPU37" s="11"/>
      <c r="UPV37" s="11"/>
      <c r="UPW37" s="11"/>
      <c r="UPX37" s="11"/>
      <c r="UPY37" s="11"/>
      <c r="UPZ37" s="11"/>
      <c r="UQA37" s="11"/>
      <c r="UQB37" s="11"/>
      <c r="UQC37" s="11"/>
      <c r="UQD37" s="11"/>
      <c r="UQE37" s="11"/>
      <c r="UQF37" s="11"/>
      <c r="UQG37" s="11"/>
      <c r="UQH37" s="11"/>
      <c r="UQI37" s="11"/>
      <c r="UQJ37" s="11"/>
      <c r="UQK37" s="11"/>
      <c r="UQL37" s="11"/>
      <c r="UQM37" s="11"/>
      <c r="UQN37" s="11"/>
      <c r="UQO37" s="11"/>
      <c r="UQP37" s="11"/>
      <c r="UQQ37" s="11"/>
      <c r="UQR37" s="11"/>
      <c r="UQS37" s="11"/>
      <c r="UQT37" s="11"/>
      <c r="UQU37" s="11"/>
      <c r="UQV37" s="11"/>
      <c r="UQW37" s="11"/>
      <c r="UQX37" s="11"/>
      <c r="UQY37" s="11"/>
      <c r="UQZ37" s="11"/>
      <c r="URA37" s="11"/>
      <c r="URB37" s="11"/>
      <c r="URC37" s="11"/>
      <c r="URD37" s="11"/>
      <c r="URE37" s="11"/>
      <c r="URF37" s="11"/>
      <c r="URG37" s="11"/>
      <c r="URH37" s="11"/>
      <c r="URI37" s="11"/>
      <c r="URJ37" s="11"/>
      <c r="URK37" s="11"/>
      <c r="URL37" s="11"/>
      <c r="URM37" s="11"/>
      <c r="URN37" s="11"/>
      <c r="URO37" s="11"/>
      <c r="URP37" s="11"/>
      <c r="URQ37" s="11"/>
      <c r="URR37" s="11"/>
      <c r="URS37" s="11"/>
      <c r="URT37" s="11"/>
      <c r="URU37" s="11"/>
      <c r="URV37" s="11"/>
      <c r="URW37" s="11"/>
      <c r="URX37" s="11"/>
      <c r="URY37" s="11"/>
      <c r="URZ37" s="11"/>
      <c r="USA37" s="11"/>
      <c r="USB37" s="11"/>
      <c r="USC37" s="11"/>
      <c r="USD37" s="11"/>
      <c r="USE37" s="11"/>
      <c r="USF37" s="11"/>
      <c r="USG37" s="11"/>
      <c r="USH37" s="11"/>
      <c r="USI37" s="11"/>
      <c r="USJ37" s="11"/>
      <c r="USK37" s="11"/>
      <c r="USL37" s="11"/>
      <c r="USM37" s="11"/>
      <c r="USN37" s="11"/>
      <c r="USO37" s="11"/>
      <c r="USP37" s="11"/>
      <c r="USQ37" s="11"/>
      <c r="USR37" s="11"/>
      <c r="USS37" s="11"/>
      <c r="UST37" s="11"/>
      <c r="USU37" s="11"/>
      <c r="USV37" s="11"/>
      <c r="USW37" s="11"/>
      <c r="USX37" s="11"/>
      <c r="USY37" s="11"/>
      <c r="USZ37" s="11"/>
      <c r="UTA37" s="11"/>
      <c r="UTB37" s="11"/>
      <c r="UTC37" s="11"/>
      <c r="UTD37" s="11"/>
      <c r="UTE37" s="11"/>
      <c r="UTF37" s="11"/>
      <c r="UTG37" s="11"/>
      <c r="UTH37" s="11"/>
      <c r="UTI37" s="11"/>
      <c r="UTJ37" s="11"/>
      <c r="UTK37" s="11"/>
      <c r="UTL37" s="11"/>
      <c r="UTM37" s="11"/>
      <c r="UTN37" s="11"/>
      <c r="UTO37" s="11"/>
      <c r="UTP37" s="11"/>
      <c r="UTQ37" s="11"/>
      <c r="UTR37" s="11"/>
      <c r="UTS37" s="11"/>
      <c r="UTT37" s="11"/>
      <c r="UTU37" s="11"/>
      <c r="UTV37" s="11"/>
      <c r="UTW37" s="11"/>
      <c r="UTX37" s="11"/>
      <c r="UTY37" s="11"/>
      <c r="UTZ37" s="11"/>
      <c r="UUA37" s="11"/>
      <c r="UUB37" s="11"/>
      <c r="UUC37" s="11"/>
      <c r="UUD37" s="11"/>
      <c r="UUE37" s="11"/>
      <c r="UUF37" s="11"/>
      <c r="UUG37" s="11"/>
      <c r="UUH37" s="11"/>
      <c r="UUI37" s="11"/>
      <c r="UUJ37" s="11"/>
      <c r="UUK37" s="11"/>
      <c r="UUL37" s="11"/>
      <c r="UUM37" s="11"/>
      <c r="UUN37" s="11"/>
      <c r="UUO37" s="11"/>
      <c r="UUP37" s="11"/>
      <c r="UUQ37" s="11"/>
      <c r="UUR37" s="11"/>
      <c r="UUS37" s="11"/>
      <c r="UUT37" s="11"/>
      <c r="UUU37" s="11"/>
      <c r="UUV37" s="11"/>
      <c r="UUW37" s="11"/>
      <c r="UUX37" s="11"/>
      <c r="UUY37" s="11"/>
      <c r="UUZ37" s="11"/>
      <c r="UVA37" s="11"/>
      <c r="UVB37" s="11"/>
      <c r="UVC37" s="11"/>
      <c r="UVD37" s="11"/>
      <c r="UVE37" s="11"/>
      <c r="UVF37" s="11"/>
      <c r="UVG37" s="11"/>
      <c r="UVH37" s="11"/>
      <c r="UVI37" s="11"/>
      <c r="UVJ37" s="11"/>
      <c r="UVK37" s="11"/>
      <c r="UVL37" s="11"/>
      <c r="UVM37" s="11"/>
      <c r="UVN37" s="11"/>
      <c r="UVO37" s="11"/>
      <c r="UVP37" s="11"/>
      <c r="UVQ37" s="11"/>
      <c r="UVR37" s="11"/>
      <c r="UVS37" s="11"/>
      <c r="UVT37" s="11"/>
      <c r="UVU37" s="11"/>
      <c r="UVV37" s="11"/>
      <c r="UVW37" s="11"/>
      <c r="UVX37" s="11"/>
      <c r="UVY37" s="11"/>
      <c r="UVZ37" s="11"/>
      <c r="UWA37" s="11"/>
      <c r="UWB37" s="11"/>
      <c r="UWC37" s="11"/>
      <c r="UWD37" s="11"/>
      <c r="UWE37" s="11"/>
      <c r="UWF37" s="11"/>
      <c r="UWG37" s="11"/>
      <c r="UWH37" s="11"/>
      <c r="UWI37" s="11"/>
      <c r="UWJ37" s="11"/>
      <c r="UWK37" s="11"/>
      <c r="UWL37" s="11"/>
      <c r="UWM37" s="11"/>
      <c r="UWN37" s="11"/>
      <c r="UWO37" s="11"/>
      <c r="UWP37" s="11"/>
      <c r="UWQ37" s="11"/>
      <c r="UWR37" s="11"/>
      <c r="UWS37" s="11"/>
      <c r="UWT37" s="11"/>
      <c r="UWU37" s="11"/>
      <c r="UWV37" s="11"/>
      <c r="UWW37" s="11"/>
      <c r="UWX37" s="11"/>
      <c r="UWY37" s="11"/>
      <c r="UWZ37" s="11"/>
      <c r="UXA37" s="11"/>
      <c r="UXB37" s="11"/>
      <c r="UXC37" s="11"/>
      <c r="UXD37" s="11"/>
      <c r="UXE37" s="11"/>
      <c r="UXF37" s="11"/>
      <c r="UXG37" s="11"/>
      <c r="UXH37" s="11"/>
      <c r="UXI37" s="11"/>
      <c r="UXJ37" s="11"/>
      <c r="UXK37" s="11"/>
      <c r="UXL37" s="11"/>
      <c r="UXM37" s="11"/>
      <c r="UXN37" s="11"/>
      <c r="UXO37" s="11"/>
      <c r="UXP37" s="11"/>
      <c r="UXQ37" s="11"/>
      <c r="UXR37" s="11"/>
      <c r="UXS37" s="11"/>
      <c r="UXT37" s="11"/>
      <c r="UXU37" s="11"/>
      <c r="UXV37" s="11"/>
      <c r="UXW37" s="11"/>
      <c r="UXX37" s="11"/>
      <c r="UXY37" s="11"/>
      <c r="UXZ37" s="11"/>
      <c r="UYA37" s="11"/>
      <c r="UYB37" s="11"/>
      <c r="UYC37" s="11"/>
      <c r="UYD37" s="11"/>
      <c r="UYE37" s="11"/>
      <c r="UYF37" s="11"/>
      <c r="UYG37" s="11"/>
      <c r="UYH37" s="11"/>
      <c r="UYI37" s="11"/>
      <c r="UYJ37" s="11"/>
      <c r="UYK37" s="11"/>
      <c r="UYL37" s="11"/>
      <c r="UYM37" s="11"/>
      <c r="UYN37" s="11"/>
      <c r="UYO37" s="11"/>
      <c r="UYP37" s="11"/>
      <c r="UYQ37" s="11"/>
      <c r="UYR37" s="11"/>
      <c r="UYS37" s="11"/>
      <c r="UYT37" s="11"/>
      <c r="UYU37" s="11"/>
      <c r="UYV37" s="11"/>
      <c r="UYW37" s="11"/>
      <c r="UYX37" s="11"/>
      <c r="UYY37" s="11"/>
      <c r="UYZ37" s="11"/>
      <c r="UZA37" s="11"/>
      <c r="UZB37" s="11"/>
      <c r="UZC37" s="11"/>
      <c r="UZD37" s="11"/>
      <c r="UZE37" s="11"/>
      <c r="UZF37" s="11"/>
      <c r="UZG37" s="11"/>
      <c r="UZH37" s="11"/>
      <c r="UZI37" s="11"/>
      <c r="UZJ37" s="11"/>
      <c r="UZK37" s="11"/>
      <c r="UZL37" s="11"/>
      <c r="UZM37" s="11"/>
      <c r="UZN37" s="11"/>
      <c r="UZO37" s="11"/>
      <c r="UZP37" s="11"/>
      <c r="UZQ37" s="11"/>
      <c r="UZR37" s="11"/>
      <c r="UZS37" s="11"/>
      <c r="UZT37" s="11"/>
      <c r="UZU37" s="11"/>
      <c r="UZV37" s="11"/>
      <c r="UZW37" s="11"/>
      <c r="UZX37" s="11"/>
      <c r="UZY37" s="11"/>
      <c r="UZZ37" s="11"/>
      <c r="VAA37" s="11"/>
      <c r="VAB37" s="11"/>
      <c r="VAC37" s="11"/>
      <c r="VAD37" s="11"/>
      <c r="VAE37" s="11"/>
      <c r="VAF37" s="11"/>
      <c r="VAG37" s="11"/>
      <c r="VAH37" s="11"/>
      <c r="VAI37" s="11"/>
      <c r="VAJ37" s="11"/>
      <c r="VAK37" s="11"/>
      <c r="VAL37" s="11"/>
      <c r="VAM37" s="11"/>
      <c r="VAN37" s="11"/>
      <c r="VAO37" s="11"/>
      <c r="VAP37" s="11"/>
      <c r="VAQ37" s="11"/>
      <c r="VAR37" s="11"/>
      <c r="VAS37" s="11"/>
      <c r="VAT37" s="11"/>
      <c r="VAU37" s="11"/>
      <c r="VAV37" s="11"/>
      <c r="VAW37" s="11"/>
      <c r="VAX37" s="11"/>
      <c r="VAY37" s="11"/>
      <c r="VAZ37" s="11"/>
      <c r="VBA37" s="11"/>
      <c r="VBB37" s="11"/>
      <c r="VBC37" s="11"/>
      <c r="VBD37" s="11"/>
      <c r="VBE37" s="11"/>
      <c r="VBF37" s="11"/>
      <c r="VBG37" s="11"/>
      <c r="VBH37" s="11"/>
      <c r="VBI37" s="11"/>
      <c r="VBJ37" s="11"/>
      <c r="VBK37" s="11"/>
      <c r="VBL37" s="11"/>
      <c r="VBM37" s="11"/>
      <c r="VBN37" s="11"/>
      <c r="VBO37" s="11"/>
      <c r="VBP37" s="11"/>
      <c r="VBQ37" s="11"/>
      <c r="VBR37" s="11"/>
      <c r="VBS37" s="11"/>
      <c r="VBT37" s="11"/>
      <c r="VBU37" s="11"/>
      <c r="VBV37" s="11"/>
      <c r="VBW37" s="11"/>
      <c r="VBX37" s="11"/>
      <c r="VBY37" s="11"/>
      <c r="VBZ37" s="11"/>
      <c r="VCA37" s="11"/>
      <c r="VCB37" s="11"/>
      <c r="VCC37" s="11"/>
      <c r="VCD37" s="11"/>
      <c r="VCE37" s="11"/>
      <c r="VCF37" s="11"/>
      <c r="VCG37" s="11"/>
      <c r="VCH37" s="11"/>
      <c r="VCI37" s="11"/>
      <c r="VCJ37" s="11"/>
      <c r="VCK37" s="11"/>
      <c r="VCL37" s="11"/>
      <c r="VCM37" s="11"/>
      <c r="VCN37" s="11"/>
      <c r="VCO37" s="11"/>
      <c r="VCP37" s="11"/>
      <c r="VCQ37" s="11"/>
      <c r="VCR37" s="11"/>
      <c r="VCS37" s="11"/>
      <c r="VCT37" s="11"/>
      <c r="VCU37" s="11"/>
      <c r="VCV37" s="11"/>
      <c r="VCW37" s="11"/>
      <c r="VCX37" s="11"/>
      <c r="VCY37" s="11"/>
      <c r="VCZ37" s="11"/>
      <c r="VDA37" s="11"/>
      <c r="VDB37" s="11"/>
      <c r="VDC37" s="11"/>
      <c r="VDD37" s="11"/>
      <c r="VDE37" s="11"/>
      <c r="VDF37" s="11"/>
      <c r="VDG37" s="11"/>
      <c r="VDH37" s="11"/>
      <c r="VDI37" s="11"/>
      <c r="VDJ37" s="11"/>
      <c r="VDK37" s="11"/>
      <c r="VDL37" s="11"/>
      <c r="VDM37" s="11"/>
      <c r="VDN37" s="11"/>
      <c r="VDO37" s="11"/>
      <c r="VDP37" s="11"/>
      <c r="VDQ37" s="11"/>
      <c r="VDR37" s="11"/>
      <c r="VDS37" s="11"/>
      <c r="VDT37" s="11"/>
      <c r="VDU37" s="11"/>
      <c r="VDV37" s="11"/>
      <c r="VDW37" s="11"/>
      <c r="VDX37" s="11"/>
      <c r="VDY37" s="11"/>
      <c r="VDZ37" s="11"/>
      <c r="VEA37" s="11"/>
      <c r="VEB37" s="11"/>
      <c r="VEC37" s="11"/>
      <c r="VED37" s="11"/>
      <c r="VEE37" s="11"/>
      <c r="VEF37" s="11"/>
      <c r="VEG37" s="11"/>
      <c r="VEH37" s="11"/>
      <c r="VEI37" s="11"/>
      <c r="VEJ37" s="11"/>
      <c r="VEK37" s="11"/>
      <c r="VEL37" s="11"/>
      <c r="VEM37" s="11"/>
      <c r="VEN37" s="11"/>
      <c r="VEO37" s="11"/>
      <c r="VEP37" s="11"/>
      <c r="VEQ37" s="11"/>
      <c r="VER37" s="11"/>
      <c r="VES37" s="11"/>
      <c r="VET37" s="11"/>
      <c r="VEU37" s="11"/>
      <c r="VEV37" s="11"/>
      <c r="VEW37" s="11"/>
      <c r="VEX37" s="11"/>
      <c r="VEY37" s="11"/>
      <c r="VEZ37" s="11"/>
      <c r="VFA37" s="11"/>
      <c r="VFB37" s="11"/>
      <c r="VFC37" s="11"/>
      <c r="VFD37" s="11"/>
      <c r="VFE37" s="11"/>
      <c r="VFF37" s="11"/>
      <c r="VFG37" s="11"/>
      <c r="VFH37" s="11"/>
      <c r="VFI37" s="11"/>
      <c r="VFJ37" s="11"/>
      <c r="VFK37" s="11"/>
      <c r="VFL37" s="11"/>
      <c r="VFM37" s="11"/>
      <c r="VFN37" s="11"/>
      <c r="VFO37" s="11"/>
      <c r="VFP37" s="11"/>
      <c r="VFQ37" s="11"/>
      <c r="VFR37" s="11"/>
      <c r="VFS37" s="11"/>
      <c r="VFT37" s="11"/>
      <c r="VFU37" s="11"/>
      <c r="VFV37" s="11"/>
      <c r="VFW37" s="11"/>
      <c r="VFX37" s="11"/>
      <c r="VFY37" s="11"/>
      <c r="VFZ37" s="11"/>
      <c r="VGA37" s="11"/>
      <c r="VGB37" s="11"/>
      <c r="VGC37" s="11"/>
      <c r="VGD37" s="11"/>
      <c r="VGE37" s="11"/>
      <c r="VGF37" s="11"/>
      <c r="VGG37" s="11"/>
      <c r="VGH37" s="11"/>
      <c r="VGI37" s="11"/>
      <c r="VGJ37" s="11"/>
      <c r="VGK37" s="11"/>
      <c r="VGL37" s="11"/>
      <c r="VGM37" s="11"/>
      <c r="VGN37" s="11"/>
      <c r="VGO37" s="11"/>
      <c r="VGP37" s="11"/>
      <c r="VGQ37" s="11"/>
      <c r="VGR37" s="11"/>
      <c r="VGS37" s="11"/>
      <c r="VGT37" s="11"/>
      <c r="VGU37" s="11"/>
      <c r="VGV37" s="11"/>
      <c r="VGW37" s="11"/>
      <c r="VGX37" s="11"/>
      <c r="VGY37" s="11"/>
      <c r="VGZ37" s="11"/>
      <c r="VHA37" s="11"/>
      <c r="VHB37" s="11"/>
      <c r="VHC37" s="11"/>
      <c r="VHD37" s="11"/>
      <c r="VHE37" s="11"/>
      <c r="VHF37" s="11"/>
      <c r="VHG37" s="11"/>
      <c r="VHH37" s="11"/>
      <c r="VHI37" s="11"/>
      <c r="VHJ37" s="11"/>
      <c r="VHK37" s="11"/>
      <c r="VHL37" s="11"/>
      <c r="VHM37" s="11"/>
      <c r="VHN37" s="11"/>
      <c r="VHO37" s="11"/>
      <c r="VHP37" s="11"/>
      <c r="VHQ37" s="11"/>
      <c r="VHR37" s="11"/>
      <c r="VHS37" s="11"/>
      <c r="VHT37" s="11"/>
      <c r="VHU37" s="11"/>
      <c r="VHV37" s="11"/>
      <c r="VHW37" s="11"/>
      <c r="VHX37" s="11"/>
      <c r="VHY37" s="11"/>
      <c r="VHZ37" s="11"/>
      <c r="VIA37" s="11"/>
      <c r="VIB37" s="11"/>
      <c r="VIC37" s="11"/>
      <c r="VID37" s="11"/>
      <c r="VIE37" s="11"/>
      <c r="VIF37" s="11"/>
      <c r="VIG37" s="11"/>
      <c r="VIH37" s="11"/>
      <c r="VII37" s="11"/>
      <c r="VIJ37" s="11"/>
      <c r="VIK37" s="11"/>
      <c r="VIL37" s="11"/>
      <c r="VIM37" s="11"/>
      <c r="VIN37" s="11"/>
      <c r="VIO37" s="11"/>
      <c r="VIP37" s="11"/>
      <c r="VIQ37" s="11"/>
      <c r="VIR37" s="11"/>
      <c r="VIS37" s="11"/>
      <c r="VIT37" s="11"/>
      <c r="VIU37" s="11"/>
      <c r="VIV37" s="11"/>
      <c r="VIW37" s="11"/>
      <c r="VIX37" s="11"/>
      <c r="VIY37" s="11"/>
      <c r="VIZ37" s="11"/>
      <c r="VJA37" s="11"/>
      <c r="VJB37" s="11"/>
      <c r="VJC37" s="11"/>
      <c r="VJD37" s="11"/>
      <c r="VJE37" s="11"/>
      <c r="VJF37" s="11"/>
      <c r="VJG37" s="11"/>
      <c r="VJH37" s="11"/>
      <c r="VJI37" s="11"/>
      <c r="VJJ37" s="11"/>
      <c r="VJK37" s="11"/>
      <c r="VJL37" s="11"/>
      <c r="VJM37" s="11"/>
      <c r="VJN37" s="11"/>
      <c r="VJO37" s="11"/>
      <c r="VJP37" s="11"/>
      <c r="VJQ37" s="11"/>
      <c r="VJR37" s="11"/>
      <c r="VJS37" s="11"/>
      <c r="VJT37" s="11"/>
      <c r="VJU37" s="11"/>
      <c r="VJV37" s="11"/>
      <c r="VJW37" s="11"/>
      <c r="VJX37" s="11"/>
      <c r="VJY37" s="11"/>
      <c r="VJZ37" s="11"/>
      <c r="VKA37" s="11"/>
      <c r="VKB37" s="11"/>
      <c r="VKC37" s="11"/>
      <c r="VKD37" s="11"/>
      <c r="VKE37" s="11"/>
      <c r="VKF37" s="11"/>
      <c r="VKG37" s="11"/>
      <c r="VKH37" s="11"/>
      <c r="VKI37" s="11"/>
      <c r="VKJ37" s="11"/>
      <c r="VKK37" s="11"/>
      <c r="VKL37" s="11"/>
      <c r="VKM37" s="11"/>
      <c r="VKN37" s="11"/>
      <c r="VKO37" s="11"/>
      <c r="VKP37" s="11"/>
      <c r="VKQ37" s="11"/>
      <c r="VKR37" s="11"/>
      <c r="VKS37" s="11"/>
      <c r="VKT37" s="11"/>
      <c r="VKU37" s="11"/>
      <c r="VKV37" s="11"/>
      <c r="VKW37" s="11"/>
      <c r="VKX37" s="11"/>
      <c r="VKY37" s="11"/>
      <c r="VKZ37" s="11"/>
      <c r="VLA37" s="11"/>
      <c r="VLB37" s="11"/>
      <c r="VLC37" s="11"/>
      <c r="VLD37" s="11"/>
      <c r="VLE37" s="11"/>
      <c r="VLF37" s="11"/>
      <c r="VLG37" s="11"/>
      <c r="VLH37" s="11"/>
      <c r="VLI37" s="11"/>
      <c r="VLJ37" s="11"/>
      <c r="VLK37" s="11"/>
      <c r="VLL37" s="11"/>
      <c r="VLM37" s="11"/>
      <c r="VLN37" s="11"/>
      <c r="VLO37" s="11"/>
      <c r="VLP37" s="11"/>
      <c r="VLQ37" s="11"/>
      <c r="VLR37" s="11"/>
      <c r="VLS37" s="11"/>
      <c r="VLT37" s="11"/>
      <c r="VLU37" s="11"/>
      <c r="VLV37" s="11"/>
      <c r="VLW37" s="11"/>
      <c r="VLX37" s="11"/>
      <c r="VLY37" s="11"/>
      <c r="VLZ37" s="11"/>
      <c r="VMA37" s="11"/>
      <c r="VMB37" s="11"/>
      <c r="VMC37" s="11"/>
      <c r="VMD37" s="11"/>
      <c r="VME37" s="11"/>
      <c r="VMF37" s="11"/>
      <c r="VMG37" s="11"/>
      <c r="VMH37" s="11"/>
      <c r="VMI37" s="11"/>
      <c r="VMJ37" s="11"/>
      <c r="VMK37" s="11"/>
      <c r="VML37" s="11"/>
      <c r="VMM37" s="11"/>
      <c r="VMN37" s="11"/>
      <c r="VMO37" s="11"/>
      <c r="VMP37" s="11"/>
      <c r="VMQ37" s="11"/>
      <c r="VMR37" s="11"/>
      <c r="VMS37" s="11"/>
      <c r="VMT37" s="11"/>
      <c r="VMU37" s="11"/>
      <c r="VMV37" s="11"/>
      <c r="VMW37" s="11"/>
      <c r="VMX37" s="11"/>
      <c r="VMY37" s="11"/>
      <c r="VMZ37" s="11"/>
      <c r="VNA37" s="11"/>
      <c r="VNB37" s="11"/>
      <c r="VNC37" s="11"/>
      <c r="VND37" s="11"/>
      <c r="VNE37" s="11"/>
      <c r="VNF37" s="11"/>
      <c r="VNG37" s="11"/>
      <c r="VNH37" s="11"/>
      <c r="VNI37" s="11"/>
      <c r="VNJ37" s="11"/>
      <c r="VNK37" s="11"/>
      <c r="VNL37" s="11"/>
      <c r="VNM37" s="11"/>
      <c r="VNN37" s="11"/>
      <c r="VNO37" s="11"/>
      <c r="VNP37" s="11"/>
      <c r="VNQ37" s="11"/>
      <c r="VNR37" s="11"/>
      <c r="VNS37" s="11"/>
      <c r="VNT37" s="11"/>
      <c r="VNU37" s="11"/>
      <c r="VNV37" s="11"/>
      <c r="VNW37" s="11"/>
      <c r="VNX37" s="11"/>
      <c r="VNY37" s="11"/>
      <c r="VNZ37" s="11"/>
      <c r="VOA37" s="11"/>
      <c r="VOB37" s="11"/>
      <c r="VOC37" s="11"/>
      <c r="VOD37" s="11"/>
      <c r="VOE37" s="11"/>
      <c r="VOF37" s="11"/>
      <c r="VOG37" s="11"/>
      <c r="VOH37" s="11"/>
      <c r="VOI37" s="11"/>
      <c r="VOJ37" s="11"/>
      <c r="VOK37" s="11"/>
      <c r="VOL37" s="11"/>
      <c r="VOM37" s="11"/>
      <c r="VON37" s="11"/>
      <c r="VOO37" s="11"/>
      <c r="VOP37" s="11"/>
      <c r="VOQ37" s="11"/>
      <c r="VOR37" s="11"/>
      <c r="VOS37" s="11"/>
      <c r="VOT37" s="11"/>
      <c r="VOU37" s="11"/>
      <c r="VOV37" s="11"/>
      <c r="VOW37" s="11"/>
      <c r="VOX37" s="11"/>
      <c r="VOY37" s="11"/>
      <c r="VOZ37" s="11"/>
      <c r="VPA37" s="11"/>
      <c r="VPB37" s="11"/>
      <c r="VPC37" s="11"/>
      <c r="VPD37" s="11"/>
      <c r="VPE37" s="11"/>
      <c r="VPF37" s="11"/>
      <c r="VPG37" s="11"/>
      <c r="VPH37" s="11"/>
      <c r="VPI37" s="11"/>
      <c r="VPJ37" s="11"/>
      <c r="VPK37" s="11"/>
      <c r="VPL37" s="11"/>
      <c r="VPM37" s="11"/>
      <c r="VPN37" s="11"/>
      <c r="VPO37" s="11"/>
      <c r="VPP37" s="11"/>
      <c r="VPQ37" s="11"/>
      <c r="VPR37" s="11"/>
      <c r="VPS37" s="11"/>
      <c r="VPT37" s="11"/>
      <c r="VPU37" s="11"/>
      <c r="VPV37" s="11"/>
      <c r="VPW37" s="11"/>
      <c r="VPX37" s="11"/>
      <c r="VPY37" s="11"/>
      <c r="VPZ37" s="11"/>
      <c r="VQA37" s="11"/>
      <c r="VQB37" s="11"/>
      <c r="VQC37" s="11"/>
      <c r="VQD37" s="11"/>
      <c r="VQE37" s="11"/>
      <c r="VQF37" s="11"/>
      <c r="VQG37" s="11"/>
      <c r="VQH37" s="11"/>
      <c r="VQI37" s="11"/>
      <c r="VQJ37" s="11"/>
      <c r="VQK37" s="11"/>
      <c r="VQL37" s="11"/>
      <c r="VQM37" s="11"/>
      <c r="VQN37" s="11"/>
      <c r="VQO37" s="11"/>
      <c r="VQP37" s="11"/>
      <c r="VQQ37" s="11"/>
      <c r="VQR37" s="11"/>
      <c r="VQS37" s="11"/>
      <c r="VQT37" s="11"/>
      <c r="VQU37" s="11"/>
      <c r="VQV37" s="11"/>
      <c r="VQW37" s="11"/>
      <c r="VQX37" s="11"/>
      <c r="VQY37" s="11"/>
      <c r="VQZ37" s="11"/>
      <c r="VRA37" s="11"/>
      <c r="VRB37" s="11"/>
      <c r="VRC37" s="11"/>
      <c r="VRD37" s="11"/>
      <c r="VRE37" s="11"/>
      <c r="VRF37" s="11"/>
      <c r="VRG37" s="11"/>
      <c r="VRH37" s="11"/>
      <c r="VRI37" s="11"/>
      <c r="VRJ37" s="11"/>
      <c r="VRK37" s="11"/>
      <c r="VRL37" s="11"/>
      <c r="VRM37" s="11"/>
      <c r="VRN37" s="11"/>
      <c r="VRO37" s="11"/>
      <c r="VRP37" s="11"/>
      <c r="VRQ37" s="11"/>
      <c r="VRR37" s="11"/>
      <c r="VRS37" s="11"/>
      <c r="VRT37" s="11"/>
      <c r="VRU37" s="11"/>
      <c r="VRV37" s="11"/>
      <c r="VRW37" s="11"/>
      <c r="VRX37" s="11"/>
      <c r="VRY37" s="11"/>
      <c r="VRZ37" s="11"/>
      <c r="VSA37" s="11"/>
      <c r="VSB37" s="11"/>
      <c r="VSC37" s="11"/>
      <c r="VSD37" s="11"/>
      <c r="VSE37" s="11"/>
      <c r="VSF37" s="11"/>
      <c r="VSG37" s="11"/>
      <c r="VSH37" s="11"/>
      <c r="VSI37" s="11"/>
      <c r="VSJ37" s="11"/>
      <c r="VSK37" s="11"/>
      <c r="VSL37" s="11"/>
      <c r="VSM37" s="11"/>
      <c r="VSN37" s="11"/>
      <c r="VSO37" s="11"/>
      <c r="VSP37" s="11"/>
      <c r="VSQ37" s="11"/>
      <c r="VSR37" s="11"/>
      <c r="VSS37" s="11"/>
      <c r="VST37" s="11"/>
      <c r="VSU37" s="11"/>
      <c r="VSV37" s="11"/>
      <c r="VSW37" s="11"/>
      <c r="VSX37" s="11"/>
      <c r="VSY37" s="11"/>
      <c r="VSZ37" s="11"/>
      <c r="VTA37" s="11"/>
      <c r="VTB37" s="11"/>
      <c r="VTC37" s="11"/>
      <c r="VTD37" s="11"/>
      <c r="VTE37" s="11"/>
      <c r="VTF37" s="11"/>
      <c r="VTG37" s="11"/>
      <c r="VTH37" s="11"/>
      <c r="VTI37" s="11"/>
      <c r="VTJ37" s="11"/>
      <c r="VTK37" s="11"/>
      <c r="VTL37" s="11"/>
      <c r="VTM37" s="11"/>
      <c r="VTN37" s="11"/>
      <c r="VTO37" s="11"/>
      <c r="VTP37" s="11"/>
      <c r="VTQ37" s="11"/>
      <c r="VTR37" s="11"/>
      <c r="VTS37" s="11"/>
      <c r="VTT37" s="11"/>
      <c r="VTU37" s="11"/>
      <c r="VTV37" s="11"/>
      <c r="VTW37" s="11"/>
      <c r="VTX37" s="11"/>
      <c r="VTY37" s="11"/>
      <c r="VTZ37" s="11"/>
      <c r="VUA37" s="11"/>
      <c r="VUB37" s="11"/>
      <c r="VUC37" s="11"/>
      <c r="VUD37" s="11"/>
      <c r="VUE37" s="11"/>
      <c r="VUF37" s="11"/>
      <c r="VUG37" s="11"/>
      <c r="VUH37" s="11"/>
      <c r="VUI37" s="11"/>
      <c r="VUJ37" s="11"/>
      <c r="VUK37" s="11"/>
      <c r="VUL37" s="11"/>
      <c r="VUM37" s="11"/>
      <c r="VUN37" s="11"/>
      <c r="VUO37" s="11"/>
      <c r="VUP37" s="11"/>
      <c r="VUQ37" s="11"/>
      <c r="VUR37" s="11"/>
      <c r="VUS37" s="11"/>
      <c r="VUT37" s="11"/>
      <c r="VUU37" s="11"/>
      <c r="VUV37" s="11"/>
      <c r="VUW37" s="11"/>
      <c r="VUX37" s="11"/>
      <c r="VUY37" s="11"/>
      <c r="VUZ37" s="11"/>
      <c r="VVA37" s="11"/>
      <c r="VVB37" s="11"/>
      <c r="VVC37" s="11"/>
      <c r="VVD37" s="11"/>
      <c r="VVE37" s="11"/>
      <c r="VVF37" s="11"/>
      <c r="VVG37" s="11"/>
      <c r="VVH37" s="11"/>
      <c r="VVI37" s="11"/>
      <c r="VVJ37" s="11"/>
      <c r="VVK37" s="11"/>
      <c r="VVL37" s="11"/>
      <c r="VVM37" s="11"/>
      <c r="VVN37" s="11"/>
      <c r="VVO37" s="11"/>
      <c r="VVP37" s="11"/>
      <c r="VVQ37" s="11"/>
      <c r="VVR37" s="11"/>
      <c r="VVS37" s="11"/>
      <c r="VVT37" s="11"/>
      <c r="VVU37" s="11"/>
      <c r="VVV37" s="11"/>
      <c r="VVW37" s="11"/>
      <c r="VVX37" s="11"/>
      <c r="VVY37" s="11"/>
      <c r="VVZ37" s="11"/>
      <c r="VWA37" s="11"/>
      <c r="VWB37" s="11"/>
      <c r="VWC37" s="11"/>
      <c r="VWD37" s="11"/>
      <c r="VWE37" s="11"/>
      <c r="VWF37" s="11"/>
      <c r="VWG37" s="11"/>
      <c r="VWH37" s="11"/>
      <c r="VWI37" s="11"/>
      <c r="VWJ37" s="11"/>
      <c r="VWK37" s="11"/>
      <c r="VWL37" s="11"/>
      <c r="VWM37" s="11"/>
      <c r="VWN37" s="11"/>
      <c r="VWO37" s="11"/>
      <c r="VWP37" s="11"/>
      <c r="VWQ37" s="11"/>
      <c r="VWR37" s="11"/>
      <c r="VWS37" s="11"/>
      <c r="VWT37" s="11"/>
      <c r="VWU37" s="11"/>
      <c r="VWV37" s="11"/>
      <c r="VWW37" s="11"/>
      <c r="VWX37" s="11"/>
      <c r="VWY37" s="11"/>
      <c r="VWZ37" s="11"/>
      <c r="VXA37" s="11"/>
      <c r="VXB37" s="11"/>
      <c r="VXC37" s="11"/>
      <c r="VXD37" s="11"/>
      <c r="VXE37" s="11"/>
      <c r="VXF37" s="11"/>
      <c r="VXG37" s="11"/>
      <c r="VXH37" s="11"/>
      <c r="VXI37" s="11"/>
      <c r="VXJ37" s="11"/>
      <c r="VXK37" s="11"/>
      <c r="VXL37" s="11"/>
      <c r="VXM37" s="11"/>
      <c r="VXN37" s="11"/>
      <c r="VXO37" s="11"/>
      <c r="VXP37" s="11"/>
      <c r="VXQ37" s="11"/>
      <c r="VXR37" s="11"/>
      <c r="VXS37" s="11"/>
      <c r="VXT37" s="11"/>
      <c r="VXU37" s="11"/>
      <c r="VXV37" s="11"/>
      <c r="VXW37" s="11"/>
      <c r="VXX37" s="11"/>
      <c r="VXY37" s="11"/>
      <c r="VXZ37" s="11"/>
      <c r="VYA37" s="11"/>
      <c r="VYB37" s="11"/>
      <c r="VYC37" s="11"/>
      <c r="VYD37" s="11"/>
      <c r="VYE37" s="11"/>
      <c r="VYF37" s="11"/>
      <c r="VYG37" s="11"/>
      <c r="VYH37" s="11"/>
      <c r="VYI37" s="11"/>
      <c r="VYJ37" s="11"/>
      <c r="VYK37" s="11"/>
      <c r="VYL37" s="11"/>
      <c r="VYM37" s="11"/>
      <c r="VYN37" s="11"/>
      <c r="VYO37" s="11"/>
      <c r="VYP37" s="11"/>
      <c r="VYQ37" s="11"/>
      <c r="VYR37" s="11"/>
      <c r="VYS37" s="11"/>
      <c r="VYT37" s="11"/>
      <c r="VYU37" s="11"/>
      <c r="VYV37" s="11"/>
      <c r="VYW37" s="11"/>
      <c r="VYX37" s="11"/>
      <c r="VYY37" s="11"/>
      <c r="VYZ37" s="11"/>
      <c r="VZA37" s="11"/>
      <c r="VZB37" s="11"/>
      <c r="VZC37" s="11"/>
      <c r="VZD37" s="11"/>
      <c r="VZE37" s="11"/>
      <c r="VZF37" s="11"/>
      <c r="VZG37" s="11"/>
      <c r="VZH37" s="11"/>
      <c r="VZI37" s="11"/>
      <c r="VZJ37" s="11"/>
      <c r="VZK37" s="11"/>
      <c r="VZL37" s="11"/>
      <c r="VZM37" s="11"/>
      <c r="VZN37" s="11"/>
      <c r="VZO37" s="11"/>
      <c r="VZP37" s="11"/>
      <c r="VZQ37" s="11"/>
      <c r="VZR37" s="11"/>
      <c r="VZS37" s="11"/>
      <c r="VZT37" s="11"/>
      <c r="VZU37" s="11"/>
      <c r="VZV37" s="11"/>
      <c r="VZW37" s="11"/>
      <c r="VZX37" s="11"/>
      <c r="VZY37" s="11"/>
      <c r="VZZ37" s="11"/>
      <c r="WAA37" s="11"/>
      <c r="WAB37" s="11"/>
      <c r="WAC37" s="11"/>
      <c r="WAD37" s="11"/>
      <c r="WAE37" s="11"/>
      <c r="WAF37" s="11"/>
      <c r="WAG37" s="11"/>
      <c r="WAH37" s="11"/>
      <c r="WAI37" s="11"/>
      <c r="WAJ37" s="11"/>
      <c r="WAK37" s="11"/>
      <c r="WAL37" s="11"/>
      <c r="WAM37" s="11"/>
      <c r="WAN37" s="11"/>
      <c r="WAO37" s="11"/>
      <c r="WAP37" s="11"/>
      <c r="WAQ37" s="11"/>
      <c r="WAR37" s="11"/>
      <c r="WAS37" s="11"/>
      <c r="WAT37" s="11"/>
      <c r="WAU37" s="11"/>
      <c r="WAV37" s="11"/>
      <c r="WAW37" s="11"/>
      <c r="WAX37" s="11"/>
      <c r="WAY37" s="11"/>
      <c r="WAZ37" s="11"/>
      <c r="WBA37" s="11"/>
      <c r="WBB37" s="11"/>
      <c r="WBC37" s="11"/>
      <c r="WBD37" s="11"/>
      <c r="WBE37" s="11"/>
      <c r="WBF37" s="11"/>
      <c r="WBG37" s="11"/>
      <c r="WBH37" s="11"/>
      <c r="WBI37" s="11"/>
      <c r="WBJ37" s="11"/>
      <c r="WBK37" s="11"/>
      <c r="WBL37" s="11"/>
      <c r="WBM37" s="11"/>
      <c r="WBN37" s="11"/>
      <c r="WBO37" s="11"/>
      <c r="WBP37" s="11"/>
      <c r="WBQ37" s="11"/>
      <c r="WBR37" s="11"/>
      <c r="WBS37" s="11"/>
      <c r="WBT37" s="11"/>
      <c r="WBU37" s="11"/>
      <c r="WBV37" s="11"/>
      <c r="WBW37" s="11"/>
      <c r="WBX37" s="11"/>
      <c r="WBY37" s="11"/>
      <c r="WBZ37" s="11"/>
      <c r="WCA37" s="11"/>
      <c r="WCB37" s="11"/>
      <c r="WCC37" s="11"/>
      <c r="WCD37" s="11"/>
      <c r="WCE37" s="11"/>
      <c r="WCF37" s="11"/>
      <c r="WCG37" s="11"/>
      <c r="WCH37" s="11"/>
      <c r="WCI37" s="11"/>
      <c r="WCJ37" s="11"/>
      <c r="WCK37" s="11"/>
      <c r="WCL37" s="11"/>
      <c r="WCM37" s="11"/>
      <c r="WCN37" s="11"/>
      <c r="WCO37" s="11"/>
      <c r="WCP37" s="11"/>
      <c r="WCQ37" s="11"/>
      <c r="WCR37" s="11"/>
      <c r="WCS37" s="11"/>
      <c r="WCT37" s="11"/>
      <c r="WCU37" s="11"/>
      <c r="WCV37" s="11"/>
      <c r="WCW37" s="11"/>
      <c r="WCX37" s="11"/>
      <c r="WCY37" s="11"/>
      <c r="WCZ37" s="11"/>
      <c r="WDA37" s="11"/>
      <c r="WDB37" s="11"/>
      <c r="WDC37" s="11"/>
      <c r="WDD37" s="11"/>
      <c r="WDE37" s="11"/>
      <c r="WDF37" s="11"/>
      <c r="WDG37" s="11"/>
      <c r="WDH37" s="11"/>
      <c r="WDI37" s="11"/>
      <c r="WDJ37" s="11"/>
      <c r="WDK37" s="11"/>
      <c r="WDL37" s="11"/>
      <c r="WDM37" s="11"/>
      <c r="WDN37" s="11"/>
      <c r="WDO37" s="11"/>
      <c r="WDP37" s="11"/>
      <c r="WDQ37" s="11"/>
      <c r="WDR37" s="11"/>
      <c r="WDS37" s="11"/>
      <c r="WDT37" s="11"/>
      <c r="WDU37" s="11"/>
      <c r="WDV37" s="11"/>
      <c r="WDW37" s="11"/>
      <c r="WDX37" s="11"/>
      <c r="WDY37" s="11"/>
      <c r="WDZ37" s="11"/>
      <c r="WEA37" s="11"/>
      <c r="WEB37" s="11"/>
      <c r="WEC37" s="11"/>
      <c r="WED37" s="11"/>
      <c r="WEE37" s="11"/>
      <c r="WEF37" s="11"/>
      <c r="WEG37" s="11"/>
      <c r="WEH37" s="11"/>
      <c r="WEI37" s="11"/>
      <c r="WEJ37" s="11"/>
      <c r="WEK37" s="11"/>
      <c r="WEL37" s="11"/>
      <c r="WEM37" s="11"/>
      <c r="WEN37" s="11"/>
      <c r="WEO37" s="11"/>
      <c r="WEP37" s="11"/>
      <c r="WEQ37" s="11"/>
      <c r="WER37" s="11"/>
      <c r="WES37" s="11"/>
      <c r="WET37" s="11"/>
      <c r="WEU37" s="11"/>
      <c r="WEV37" s="11"/>
      <c r="WEW37" s="11"/>
      <c r="WEX37" s="11"/>
      <c r="WEY37" s="11"/>
      <c r="WEZ37" s="11"/>
      <c r="WFA37" s="11"/>
      <c r="WFB37" s="11"/>
      <c r="WFC37" s="11"/>
      <c r="WFD37" s="11"/>
      <c r="WFE37" s="11"/>
      <c r="WFF37" s="11"/>
      <c r="WFG37" s="11"/>
      <c r="WFH37" s="11"/>
      <c r="WFI37" s="11"/>
      <c r="WFJ37" s="11"/>
      <c r="WFK37" s="11"/>
      <c r="WFL37" s="11"/>
      <c r="WFM37" s="11"/>
      <c r="WFN37" s="11"/>
      <c r="WFO37" s="11"/>
      <c r="WFP37" s="11"/>
      <c r="WFQ37" s="11"/>
      <c r="WFR37" s="11"/>
      <c r="WFS37" s="11"/>
      <c r="WFT37" s="11"/>
      <c r="WFU37" s="11"/>
      <c r="WFV37" s="11"/>
      <c r="WFW37" s="11"/>
      <c r="WFX37" s="11"/>
      <c r="WFY37" s="11"/>
      <c r="WFZ37" s="11"/>
      <c r="WGA37" s="11"/>
      <c r="WGB37" s="11"/>
      <c r="WGC37" s="11"/>
      <c r="WGD37" s="11"/>
      <c r="WGE37" s="11"/>
      <c r="WGF37" s="11"/>
      <c r="WGG37" s="11"/>
      <c r="WGH37" s="11"/>
      <c r="WGI37" s="11"/>
      <c r="WGJ37" s="11"/>
      <c r="WGK37" s="11"/>
      <c r="WGL37" s="11"/>
      <c r="WGM37" s="11"/>
      <c r="WGN37" s="11"/>
      <c r="WGO37" s="11"/>
      <c r="WGP37" s="11"/>
      <c r="WGQ37" s="11"/>
      <c r="WGR37" s="11"/>
      <c r="WGS37" s="11"/>
      <c r="WGT37" s="11"/>
      <c r="WGU37" s="11"/>
      <c r="WGV37" s="11"/>
      <c r="WGW37" s="11"/>
      <c r="WGX37" s="11"/>
      <c r="WGY37" s="11"/>
      <c r="WGZ37" s="11"/>
      <c r="WHA37" s="11"/>
      <c r="WHB37" s="11"/>
      <c r="WHC37" s="11"/>
      <c r="WHD37" s="11"/>
      <c r="WHE37" s="11"/>
      <c r="WHF37" s="11"/>
      <c r="WHG37" s="11"/>
      <c r="WHH37" s="11"/>
      <c r="WHI37" s="11"/>
      <c r="WHJ37" s="11"/>
      <c r="WHK37" s="11"/>
      <c r="WHL37" s="11"/>
      <c r="WHM37" s="11"/>
      <c r="WHN37" s="11"/>
      <c r="WHO37" s="11"/>
      <c r="WHP37" s="11"/>
      <c r="WHQ37" s="11"/>
      <c r="WHR37" s="11"/>
      <c r="WHS37" s="11"/>
      <c r="WHT37" s="11"/>
      <c r="WHU37" s="11"/>
      <c r="WHV37" s="11"/>
      <c r="WHW37" s="11"/>
      <c r="WHX37" s="11"/>
      <c r="WHY37" s="11"/>
      <c r="WHZ37" s="11"/>
      <c r="WIA37" s="11"/>
      <c r="WIB37" s="11"/>
      <c r="WIC37" s="11"/>
      <c r="WID37" s="11"/>
      <c r="WIE37" s="11"/>
      <c r="WIF37" s="11"/>
      <c r="WIG37" s="11"/>
      <c r="WIH37" s="11"/>
      <c r="WII37" s="11"/>
      <c r="WIJ37" s="11"/>
      <c r="WIK37" s="11"/>
      <c r="WIL37" s="11"/>
      <c r="WIM37" s="11"/>
      <c r="WIN37" s="11"/>
      <c r="WIO37" s="11"/>
      <c r="WIP37" s="11"/>
      <c r="WIQ37" s="11"/>
      <c r="WIR37" s="11"/>
      <c r="WIS37" s="11"/>
      <c r="WIT37" s="11"/>
      <c r="WIU37" s="11"/>
      <c r="WIV37" s="11"/>
      <c r="WIW37" s="11"/>
      <c r="WIX37" s="11"/>
      <c r="WIY37" s="11"/>
      <c r="WIZ37" s="11"/>
      <c r="WJA37" s="11"/>
      <c r="WJB37" s="11"/>
      <c r="WJC37" s="11"/>
      <c r="WJD37" s="11"/>
      <c r="WJE37" s="11"/>
      <c r="WJF37" s="11"/>
      <c r="WJG37" s="11"/>
      <c r="WJH37" s="11"/>
      <c r="WJI37" s="11"/>
      <c r="WJJ37" s="11"/>
      <c r="WJK37" s="11"/>
      <c r="WJL37" s="11"/>
      <c r="WJM37" s="11"/>
      <c r="WJN37" s="11"/>
      <c r="WJO37" s="11"/>
      <c r="WJP37" s="11"/>
      <c r="WJQ37" s="11"/>
      <c r="WJR37" s="11"/>
      <c r="WJS37" s="11"/>
      <c r="WJT37" s="11"/>
      <c r="WJU37" s="11"/>
      <c r="WJV37" s="11"/>
      <c r="WJW37" s="11"/>
      <c r="WJX37" s="11"/>
      <c r="WJY37" s="11"/>
      <c r="WJZ37" s="11"/>
      <c r="WKA37" s="11"/>
      <c r="WKB37" s="11"/>
      <c r="WKC37" s="11"/>
      <c r="WKD37" s="11"/>
      <c r="WKE37" s="11"/>
      <c r="WKF37" s="11"/>
      <c r="WKG37" s="11"/>
      <c r="WKH37" s="11"/>
      <c r="WKI37" s="11"/>
      <c r="WKJ37" s="11"/>
      <c r="WKK37" s="11"/>
      <c r="WKL37" s="11"/>
      <c r="WKM37" s="11"/>
      <c r="WKN37" s="11"/>
      <c r="WKO37" s="11"/>
      <c r="WKP37" s="11"/>
      <c r="WKQ37" s="11"/>
      <c r="WKR37" s="11"/>
      <c r="WKS37" s="11"/>
      <c r="WKT37" s="11"/>
      <c r="WKU37" s="11"/>
      <c r="WKV37" s="11"/>
      <c r="WKW37" s="11"/>
      <c r="WKX37" s="11"/>
      <c r="WKY37" s="11"/>
      <c r="WKZ37" s="11"/>
      <c r="WLA37" s="11"/>
      <c r="WLB37" s="11"/>
      <c r="WLC37" s="11"/>
      <c r="WLD37" s="11"/>
      <c r="WLE37" s="11"/>
      <c r="WLF37" s="11"/>
      <c r="WLG37" s="11"/>
      <c r="WLH37" s="11"/>
      <c r="WLI37" s="11"/>
      <c r="WLJ37" s="11"/>
      <c r="WLK37" s="11"/>
      <c r="WLL37" s="11"/>
      <c r="WLM37" s="11"/>
      <c r="WLN37" s="11"/>
      <c r="WLO37" s="11"/>
      <c r="WLP37" s="11"/>
      <c r="WLQ37" s="11"/>
      <c r="WLR37" s="11"/>
      <c r="WLS37" s="11"/>
      <c r="WLT37" s="11"/>
      <c r="WLU37" s="11"/>
      <c r="WLV37" s="11"/>
      <c r="WLW37" s="11"/>
      <c r="WLX37" s="11"/>
      <c r="WLY37" s="11"/>
      <c r="WLZ37" s="11"/>
      <c r="WMA37" s="11"/>
      <c r="WMB37" s="11"/>
      <c r="WMC37" s="11"/>
      <c r="WMD37" s="11"/>
      <c r="WME37" s="11"/>
      <c r="WMF37" s="11"/>
      <c r="WMG37" s="11"/>
      <c r="WMH37" s="11"/>
      <c r="WMI37" s="11"/>
      <c r="WMJ37" s="11"/>
      <c r="WMK37" s="11"/>
      <c r="WML37" s="11"/>
      <c r="WMM37" s="11"/>
      <c r="WMN37" s="11"/>
      <c r="WMO37" s="11"/>
      <c r="WMP37" s="11"/>
      <c r="WMQ37" s="11"/>
      <c r="WMR37" s="11"/>
      <c r="WMS37" s="11"/>
      <c r="WMT37" s="11"/>
      <c r="WMU37" s="11"/>
      <c r="WMV37" s="11"/>
      <c r="WMW37" s="11"/>
      <c r="WMX37" s="11"/>
      <c r="WMY37" s="11"/>
      <c r="WMZ37" s="11"/>
      <c r="WNA37" s="11"/>
      <c r="WNB37" s="11"/>
      <c r="WNC37" s="11"/>
      <c r="WND37" s="11"/>
      <c r="WNE37" s="11"/>
      <c r="WNF37" s="11"/>
      <c r="WNG37" s="11"/>
      <c r="WNH37" s="11"/>
      <c r="WNI37" s="11"/>
      <c r="WNJ37" s="11"/>
      <c r="WNK37" s="11"/>
      <c r="WNL37" s="11"/>
      <c r="WNM37" s="11"/>
      <c r="WNN37" s="11"/>
      <c r="WNO37" s="11"/>
      <c r="WNP37" s="11"/>
      <c r="WNQ37" s="11"/>
      <c r="WNR37" s="11"/>
      <c r="WNS37" s="11"/>
      <c r="WNT37" s="11"/>
      <c r="WNU37" s="11"/>
      <c r="WNV37" s="11"/>
      <c r="WNW37" s="11"/>
      <c r="WNX37" s="11"/>
      <c r="WNY37" s="11"/>
      <c r="WNZ37" s="11"/>
      <c r="WOA37" s="11"/>
      <c r="WOB37" s="11"/>
      <c r="WOC37" s="11"/>
      <c r="WOD37" s="11"/>
      <c r="WOE37" s="11"/>
      <c r="WOF37" s="11"/>
      <c r="WOG37" s="11"/>
      <c r="WOH37" s="11"/>
      <c r="WOI37" s="11"/>
      <c r="WOJ37" s="11"/>
      <c r="WOK37" s="11"/>
      <c r="WOL37" s="11"/>
      <c r="WOM37" s="11"/>
      <c r="WON37" s="11"/>
      <c r="WOO37" s="11"/>
      <c r="WOP37" s="11"/>
      <c r="WOQ37" s="11"/>
      <c r="WOR37" s="11"/>
      <c r="WOS37" s="11"/>
      <c r="WOT37" s="11"/>
      <c r="WOU37" s="11"/>
      <c r="WOV37" s="11"/>
      <c r="WOW37" s="11"/>
      <c r="WOX37" s="11"/>
      <c r="WOY37" s="11"/>
      <c r="WOZ37" s="11"/>
      <c r="WPA37" s="11"/>
      <c r="WPB37" s="11"/>
      <c r="WPC37" s="11"/>
      <c r="WPD37" s="11"/>
      <c r="WPE37" s="11"/>
      <c r="WPF37" s="11"/>
      <c r="WPG37" s="11"/>
      <c r="WPH37" s="11"/>
      <c r="WPI37" s="11"/>
      <c r="WPJ37" s="11"/>
      <c r="WPK37" s="11"/>
      <c r="WPL37" s="11"/>
      <c r="WPM37" s="11"/>
      <c r="WPN37" s="11"/>
      <c r="WPO37" s="11"/>
      <c r="WPP37" s="11"/>
      <c r="WPQ37" s="11"/>
      <c r="WPR37" s="11"/>
      <c r="WPS37" s="11"/>
      <c r="WPT37" s="11"/>
      <c r="WPU37" s="11"/>
      <c r="WPV37" s="11"/>
      <c r="WPW37" s="11"/>
      <c r="WPX37" s="11"/>
      <c r="WPY37" s="11"/>
      <c r="WPZ37" s="11"/>
      <c r="WQA37" s="11"/>
      <c r="WQB37" s="11"/>
      <c r="WQC37" s="11"/>
      <c r="WQD37" s="11"/>
      <c r="WQE37" s="11"/>
      <c r="WQF37" s="11"/>
      <c r="WQG37" s="11"/>
      <c r="WQH37" s="11"/>
      <c r="WQI37" s="11"/>
      <c r="WQJ37" s="11"/>
      <c r="WQK37" s="11"/>
      <c r="WQL37" s="11"/>
      <c r="WQM37" s="11"/>
      <c r="WQN37" s="11"/>
      <c r="WQO37" s="11"/>
      <c r="WQP37" s="11"/>
      <c r="WQQ37" s="11"/>
      <c r="WQR37" s="11"/>
      <c r="WQS37" s="11"/>
      <c r="WQT37" s="11"/>
      <c r="WQU37" s="11"/>
      <c r="WQV37" s="11"/>
      <c r="WQW37" s="11"/>
      <c r="WQX37" s="11"/>
      <c r="WQY37" s="11"/>
      <c r="WQZ37" s="11"/>
      <c r="WRA37" s="11"/>
      <c r="WRB37" s="11"/>
      <c r="WRC37" s="11"/>
      <c r="WRD37" s="11"/>
      <c r="WRE37" s="11"/>
      <c r="WRF37" s="11"/>
      <c r="WRG37" s="11"/>
      <c r="WRH37" s="11"/>
      <c r="WRI37" s="11"/>
      <c r="WRJ37" s="11"/>
      <c r="WRK37" s="11"/>
      <c r="WRL37" s="11"/>
      <c r="WRM37" s="11"/>
      <c r="WRN37" s="11"/>
      <c r="WRO37" s="11"/>
      <c r="WRP37" s="11"/>
      <c r="WRQ37" s="11"/>
      <c r="WRR37" s="11"/>
      <c r="WRS37" s="11"/>
      <c r="WRT37" s="11"/>
      <c r="WRU37" s="11"/>
      <c r="WRV37" s="11"/>
      <c r="WRW37" s="11"/>
      <c r="WRX37" s="11"/>
      <c r="WRY37" s="11"/>
      <c r="WRZ37" s="11"/>
      <c r="WSA37" s="11"/>
      <c r="WSB37" s="11"/>
      <c r="WSC37" s="11"/>
      <c r="WSD37" s="11"/>
      <c r="WSE37" s="11"/>
      <c r="WSF37" s="11"/>
      <c r="WSG37" s="11"/>
      <c r="WSH37" s="11"/>
      <c r="WSI37" s="11"/>
      <c r="WSJ37" s="11"/>
      <c r="WSK37" s="11"/>
      <c r="WSL37" s="11"/>
      <c r="WSM37" s="11"/>
      <c r="WSN37" s="11"/>
      <c r="WSO37" s="11"/>
      <c r="WSP37" s="11"/>
      <c r="WSQ37" s="11"/>
      <c r="WSR37" s="11"/>
      <c r="WSS37" s="11"/>
      <c r="WST37" s="11"/>
      <c r="WSU37" s="11"/>
      <c r="WSV37" s="11"/>
      <c r="WSW37" s="11"/>
      <c r="WSX37" s="11"/>
      <c r="WSY37" s="11"/>
      <c r="WSZ37" s="11"/>
      <c r="WTA37" s="11"/>
      <c r="WTB37" s="11"/>
      <c r="WTC37" s="11"/>
      <c r="WTD37" s="11"/>
      <c r="WTE37" s="11"/>
      <c r="WTF37" s="11"/>
      <c r="WTG37" s="11"/>
      <c r="WTH37" s="11"/>
      <c r="WTI37" s="11"/>
      <c r="WTJ37" s="11"/>
      <c r="WTK37" s="11"/>
      <c r="WTL37" s="11"/>
      <c r="WTM37" s="11"/>
      <c r="WTN37" s="11"/>
      <c r="WTO37" s="11"/>
      <c r="WTP37" s="11"/>
      <c r="WTQ37" s="11"/>
      <c r="WTR37" s="11"/>
      <c r="WTS37" s="11"/>
      <c r="WTT37" s="11"/>
      <c r="WTU37" s="11"/>
      <c r="WTV37" s="11"/>
      <c r="WTW37" s="11"/>
      <c r="WTX37" s="11"/>
      <c r="WTY37" s="11"/>
      <c r="WTZ37" s="11"/>
      <c r="WUA37" s="11"/>
      <c r="WUB37" s="11"/>
      <c r="WUC37" s="11"/>
      <c r="WUD37" s="11"/>
      <c r="WUE37" s="11"/>
      <c r="WUF37" s="11"/>
      <c r="WUG37" s="11"/>
      <c r="WUH37" s="11"/>
      <c r="WUI37" s="11"/>
      <c r="WUJ37" s="11"/>
      <c r="WUK37" s="11"/>
      <c r="WUL37" s="11"/>
      <c r="WUM37" s="11"/>
      <c r="WUN37" s="11"/>
      <c r="WUO37" s="11"/>
      <c r="WUP37" s="11"/>
      <c r="WUQ37" s="11"/>
      <c r="WUR37" s="11"/>
      <c r="WUS37" s="11"/>
      <c r="WUT37" s="11"/>
      <c r="WUU37" s="11"/>
      <c r="WUV37" s="11"/>
      <c r="WUW37" s="11"/>
      <c r="WUX37" s="11"/>
      <c r="WUY37" s="11"/>
      <c r="WUZ37" s="11"/>
      <c r="WVA37" s="11"/>
      <c r="WVB37" s="11"/>
      <c r="WVC37" s="11"/>
      <c r="WVD37" s="11"/>
      <c r="WVE37" s="11"/>
      <c r="WVF37" s="11"/>
      <c r="WVG37" s="11"/>
      <c r="WVH37" s="11"/>
      <c r="WVI37" s="11"/>
      <c r="WVJ37" s="11"/>
      <c r="WVK37" s="11"/>
      <c r="WVL37" s="11"/>
      <c r="WVM37" s="11"/>
      <c r="WVN37" s="11"/>
      <c r="WVO37" s="11"/>
      <c r="WVP37" s="11"/>
      <c r="WVQ37" s="11"/>
      <c r="WVR37" s="11"/>
      <c r="WVS37" s="11"/>
      <c r="WVT37" s="11"/>
      <c r="WVU37" s="11"/>
      <c r="WVV37" s="11"/>
      <c r="WVW37" s="11"/>
      <c r="WVX37" s="11"/>
      <c r="WVY37" s="11"/>
      <c r="WVZ37" s="11"/>
      <c r="WWA37" s="11"/>
      <c r="WWB37" s="11"/>
      <c r="WWC37" s="11"/>
      <c r="WWD37" s="11"/>
      <c r="WWE37" s="11"/>
      <c r="WWF37" s="11"/>
      <c r="WWG37" s="11"/>
      <c r="WWH37" s="11"/>
      <c r="WWI37" s="11"/>
      <c r="WWJ37" s="11"/>
      <c r="WWK37" s="11"/>
      <c r="WWL37" s="11"/>
      <c r="WWM37" s="11"/>
      <c r="WWN37" s="11"/>
      <c r="WWO37" s="11"/>
      <c r="WWP37" s="11"/>
      <c r="WWQ37" s="11"/>
      <c r="WWR37" s="11"/>
      <c r="WWS37" s="11"/>
      <c r="WWT37" s="11"/>
      <c r="WWU37" s="11"/>
      <c r="WWV37" s="11"/>
      <c r="WWW37" s="11"/>
      <c r="WWX37" s="11"/>
      <c r="WWY37" s="11"/>
      <c r="WWZ37" s="11"/>
      <c r="WXA37" s="11"/>
      <c r="WXB37" s="11"/>
      <c r="WXC37" s="11"/>
      <c r="WXD37" s="11"/>
      <c r="WXE37" s="11"/>
      <c r="WXF37" s="11"/>
      <c r="WXG37" s="11"/>
      <c r="WXH37" s="11"/>
      <c r="WXI37" s="11"/>
      <c r="WXJ37" s="11"/>
      <c r="WXK37" s="11"/>
      <c r="WXL37" s="11"/>
      <c r="WXM37" s="11"/>
      <c r="WXN37" s="11"/>
      <c r="WXO37" s="11"/>
      <c r="WXP37" s="11"/>
      <c r="WXQ37" s="11"/>
      <c r="WXR37" s="11"/>
      <c r="WXS37" s="11"/>
      <c r="WXT37" s="11"/>
      <c r="WXU37" s="11"/>
      <c r="WXV37" s="11"/>
      <c r="WXW37" s="11"/>
      <c r="WXX37" s="11"/>
      <c r="WXY37" s="11"/>
      <c r="WXZ37" s="11"/>
      <c r="WYA37" s="11"/>
      <c r="WYB37" s="11"/>
      <c r="WYC37" s="11"/>
      <c r="WYD37" s="11"/>
      <c r="WYE37" s="11"/>
      <c r="WYF37" s="11"/>
      <c r="WYG37" s="11"/>
      <c r="WYH37" s="11"/>
      <c r="WYI37" s="11"/>
      <c r="WYJ37" s="11"/>
      <c r="WYK37" s="11"/>
      <c r="WYL37" s="11"/>
      <c r="WYM37" s="11"/>
      <c r="WYN37" s="11"/>
      <c r="WYO37" s="11"/>
      <c r="WYP37" s="11"/>
      <c r="WYQ37" s="11"/>
      <c r="WYR37" s="11"/>
      <c r="WYS37" s="11"/>
      <c r="WYT37" s="11"/>
      <c r="WYU37" s="11"/>
      <c r="WYV37" s="11"/>
      <c r="WYW37" s="11"/>
      <c r="WYX37" s="11"/>
      <c r="WYY37" s="11"/>
      <c r="WYZ37" s="11"/>
      <c r="WZA37" s="11"/>
      <c r="WZB37" s="11"/>
      <c r="WZC37" s="11"/>
      <c r="WZD37" s="11"/>
      <c r="WZE37" s="11"/>
      <c r="WZF37" s="11"/>
      <c r="WZG37" s="11"/>
      <c r="WZH37" s="11"/>
      <c r="WZI37" s="11"/>
      <c r="WZJ37" s="11"/>
      <c r="WZK37" s="11"/>
      <c r="WZL37" s="11"/>
      <c r="WZM37" s="11"/>
      <c r="WZN37" s="11"/>
      <c r="WZO37" s="11"/>
      <c r="WZP37" s="11"/>
      <c r="WZQ37" s="11"/>
      <c r="WZR37" s="11"/>
      <c r="WZS37" s="11"/>
      <c r="WZT37" s="11"/>
      <c r="WZU37" s="11"/>
      <c r="WZV37" s="11"/>
      <c r="WZW37" s="11"/>
      <c r="WZX37" s="11"/>
      <c r="WZY37" s="11"/>
      <c r="WZZ37" s="11"/>
      <c r="XAA37" s="11"/>
      <c r="XAB37" s="11"/>
      <c r="XAC37" s="11"/>
      <c r="XAD37" s="11"/>
      <c r="XAE37" s="11"/>
      <c r="XAF37" s="11"/>
      <c r="XAG37" s="11"/>
      <c r="XAH37" s="11"/>
      <c r="XAI37" s="11"/>
      <c r="XAJ37" s="11"/>
      <c r="XAK37" s="11"/>
      <c r="XAL37" s="11"/>
      <c r="XAM37" s="11"/>
      <c r="XAN37" s="11"/>
      <c r="XAO37" s="11"/>
      <c r="XAP37" s="11"/>
      <c r="XAQ37" s="11"/>
      <c r="XAR37" s="11"/>
      <c r="XAS37" s="11"/>
      <c r="XAT37" s="11"/>
      <c r="XAU37" s="11"/>
      <c r="XAV37" s="11"/>
      <c r="XAW37" s="11"/>
      <c r="XAX37" s="11"/>
      <c r="XAY37" s="11"/>
      <c r="XAZ37" s="11"/>
      <c r="XBA37" s="11"/>
      <c r="XBB37" s="11"/>
      <c r="XBC37" s="11"/>
      <c r="XBD37" s="11"/>
      <c r="XBE37" s="11"/>
      <c r="XBF37" s="11"/>
      <c r="XBG37" s="11"/>
      <c r="XBH37" s="11"/>
      <c r="XBI37" s="11"/>
      <c r="XBJ37" s="11"/>
      <c r="XBK37" s="11"/>
      <c r="XBL37" s="11"/>
      <c r="XBM37" s="11"/>
      <c r="XBN37" s="11"/>
      <c r="XBO37" s="11"/>
      <c r="XBP37" s="11"/>
      <c r="XBQ37" s="11"/>
      <c r="XBR37" s="11"/>
      <c r="XBS37" s="11"/>
      <c r="XBT37" s="11"/>
      <c r="XBU37" s="11"/>
      <c r="XBV37" s="11"/>
      <c r="XBW37" s="11"/>
      <c r="XBX37" s="11"/>
      <c r="XBY37" s="11"/>
      <c r="XBZ37" s="11"/>
      <c r="XCA37" s="11"/>
      <c r="XCB37" s="11"/>
      <c r="XCC37" s="11"/>
      <c r="XCD37" s="11"/>
      <c r="XCE37" s="11"/>
      <c r="XCF37" s="11"/>
      <c r="XCG37" s="11"/>
      <c r="XCH37" s="11"/>
      <c r="XCI37" s="11"/>
      <c r="XCJ37" s="11"/>
      <c r="XCK37" s="11"/>
      <c r="XCL37" s="11"/>
      <c r="XCM37" s="11"/>
      <c r="XCN37" s="11"/>
      <c r="XCO37" s="11"/>
      <c r="XCP37" s="11"/>
      <c r="XCQ37" s="11"/>
      <c r="XCR37" s="11"/>
      <c r="XCS37" s="11"/>
      <c r="XCT37" s="11"/>
      <c r="XCU37" s="11"/>
      <c r="XCV37" s="11"/>
      <c r="XCW37" s="11"/>
      <c r="XCX37" s="11"/>
      <c r="XCY37" s="11"/>
      <c r="XCZ37" s="11"/>
      <c r="XDA37" s="11"/>
      <c r="XDB37" s="11"/>
      <c r="XDC37" s="11"/>
      <c r="XDD37" s="11"/>
      <c r="XDE37" s="11"/>
      <c r="XDF37" s="11"/>
      <c r="XDG37" s="11"/>
      <c r="XDH37" s="11"/>
      <c r="XDI37" s="11"/>
      <c r="XDJ37" s="11"/>
      <c r="XDK37" s="11"/>
      <c r="XDL37" s="11"/>
      <c r="XDM37" s="11"/>
      <c r="XDN37" s="11"/>
      <c r="XDO37" s="11"/>
      <c r="XDP37" s="11"/>
      <c r="XDQ37" s="11"/>
      <c r="XDR37" s="11"/>
      <c r="XDS37" s="11"/>
      <c r="XDT37" s="11"/>
      <c r="XDU37" s="11"/>
      <c r="XDV37" s="11"/>
      <c r="XDW37" s="11"/>
      <c r="XDX37" s="11"/>
      <c r="XDY37" s="11"/>
      <c r="XDZ37" s="11"/>
      <c r="XEA37" s="11"/>
      <c r="XEB37" s="11"/>
      <c r="XEC37" s="11"/>
      <c r="XED37" s="11"/>
      <c r="XEE37" s="11"/>
      <c r="XEF37" s="11"/>
      <c r="XEG37" s="11"/>
      <c r="XEH37" s="11"/>
      <c r="XEI37" s="11"/>
      <c r="XEJ37" s="11"/>
      <c r="XEK37" s="11"/>
      <c r="XEL37" s="11"/>
      <c r="XEM37" s="11"/>
      <c r="XEN37" s="11"/>
      <c r="XEO37" s="11"/>
      <c r="XEP37" s="11"/>
      <c r="XEQ37" s="11"/>
      <c r="XER37" s="11"/>
      <c r="XES37" s="11"/>
      <c r="XET37" s="11"/>
      <c r="XEU37" s="11"/>
      <c r="XEV37" s="11"/>
      <c r="XEW37" s="11"/>
      <c r="XEX37" s="11"/>
      <c r="XEY37" s="11"/>
      <c r="XEZ37" s="11"/>
      <c r="XFA37" s="11"/>
      <c r="XFB37" s="11"/>
      <c r="XFC37" s="11"/>
      <c r="XFD37" s="11"/>
    </row>
    <row r="38" spans="1:16384" x14ac:dyDescent="0.4">
      <c r="B38" s="1"/>
      <c r="C38" s="10">
        <f t="shared" si="14"/>
        <v>80.493281250000024</v>
      </c>
      <c r="D38" s="39">
        <f t="shared" si="2"/>
        <v>27589.69903019692</v>
      </c>
      <c r="E38" s="11">
        <f t="shared" si="16"/>
        <v>80.493281250000024</v>
      </c>
      <c r="F38" s="11">
        <f t="shared" si="15"/>
        <v>73.662754969905592</v>
      </c>
      <c r="G38" s="10"/>
      <c r="H38" s="11"/>
      <c r="I38" s="11"/>
      <c r="J38" s="11"/>
      <c r="K38" s="10"/>
      <c r="L38" s="11"/>
      <c r="M38" s="11"/>
      <c r="N38" s="12"/>
    </row>
    <row r="39" spans="1:16384" x14ac:dyDescent="0.4">
      <c r="A39">
        <f>A27+1</f>
        <v>4</v>
      </c>
      <c r="B39" s="1">
        <f>B27*(1+$P$3)</f>
        <v>30098.25</v>
      </c>
      <c r="C39" s="10">
        <f>MAX(0,MIN((0.1*($B39-1.5*$P$12*(1+$P$18)^(A39-1))/12),$S$11))</f>
        <v>88.477488281250018</v>
      </c>
      <c r="D39" s="39">
        <f t="shared" si="2"/>
        <v>27598.751319787079</v>
      </c>
      <c r="E39" s="11">
        <f t="shared" si="12"/>
        <v>88.477488281250018</v>
      </c>
      <c r="F39" s="11">
        <f>C39</f>
        <v>88.477488281250018</v>
      </c>
      <c r="G39" s="10"/>
      <c r="H39" s="11"/>
      <c r="I39" s="11"/>
      <c r="J39" s="11"/>
      <c r="K39" s="10"/>
      <c r="L39" s="11"/>
      <c r="M39" s="11"/>
      <c r="N39" s="12"/>
    </row>
    <row r="40" spans="1:16384" x14ac:dyDescent="0.4">
      <c r="B40" s="1"/>
      <c r="C40" s="10">
        <f>C39</f>
        <v>88.477488281250018</v>
      </c>
      <c r="D40" s="39">
        <f t="shared" si="2"/>
        <v>27599.82287907532</v>
      </c>
      <c r="E40" s="11">
        <f t="shared" si="12"/>
        <v>88.477488281250018</v>
      </c>
      <c r="F40" s="11"/>
      <c r="G40" s="10"/>
      <c r="H40" s="11"/>
      <c r="I40" s="11"/>
      <c r="J40" s="11"/>
      <c r="K40" s="10"/>
      <c r="L40" s="11"/>
      <c r="M40" s="11"/>
      <c r="N40" s="12"/>
    </row>
    <row r="41" spans="1:16384" x14ac:dyDescent="0.4">
      <c r="B41" s="1"/>
      <c r="C41" s="10">
        <f t="shared" ref="C41:C50" si="17">C40</f>
        <v>88.477488281250018</v>
      </c>
      <c r="D41" s="39">
        <f t="shared" si="2"/>
        <v>27600.897926410034</v>
      </c>
      <c r="E41" s="11">
        <f t="shared" si="12"/>
        <v>88.477488281250018</v>
      </c>
      <c r="F41" s="11"/>
      <c r="G41" s="10"/>
      <c r="H41" s="11"/>
      <c r="I41" s="11"/>
      <c r="J41" s="11"/>
      <c r="K41" s="10"/>
      <c r="L41" s="11"/>
      <c r="M41" s="11"/>
      <c r="N41" s="12"/>
    </row>
    <row r="42" spans="1:16384" x14ac:dyDescent="0.4">
      <c r="B42" s="1"/>
      <c r="C42" s="10">
        <f t="shared" si="17"/>
        <v>88.477488281250018</v>
      </c>
      <c r="D42" s="39">
        <f t="shared" si="2"/>
        <v>27601.976473145209</v>
      </c>
      <c r="E42" s="11">
        <f t="shared" si="12"/>
        <v>88.477488281250018</v>
      </c>
      <c r="F42" s="11"/>
      <c r="G42" s="10"/>
      <c r="H42" s="11"/>
      <c r="I42" s="11"/>
      <c r="J42" s="11"/>
      <c r="K42" s="10"/>
      <c r="L42" s="11"/>
      <c r="M42" s="11"/>
      <c r="N42" s="12"/>
    </row>
    <row r="43" spans="1:16384" x14ac:dyDescent="0.4">
      <c r="B43" s="1"/>
      <c r="C43" s="10">
        <f t="shared" si="17"/>
        <v>88.477488281250018</v>
      </c>
      <c r="D43" s="39">
        <f t="shared" si="2"/>
        <v>27603.058530671788</v>
      </c>
      <c r="E43" s="11">
        <f t="shared" si="12"/>
        <v>88.477488281250018</v>
      </c>
      <c r="F43" s="11"/>
      <c r="G43" s="10"/>
      <c r="H43" s="11"/>
      <c r="I43" s="11"/>
      <c r="J43" s="11"/>
      <c r="K43" s="10"/>
      <c r="L43" s="11"/>
      <c r="M43" s="11"/>
      <c r="N43" s="12"/>
    </row>
    <row r="44" spans="1:16384" x14ac:dyDescent="0.4">
      <c r="B44" s="1"/>
      <c r="C44" s="10">
        <f t="shared" si="17"/>
        <v>88.477488281250018</v>
      </c>
      <c r="D44" s="39">
        <f t="shared" si="2"/>
        <v>27604.144110417794</v>
      </c>
      <c r="E44" s="11">
        <f t="shared" si="12"/>
        <v>88.477488281250018</v>
      </c>
      <c r="F44" s="11"/>
      <c r="G44" s="10"/>
      <c r="H44" s="11"/>
      <c r="I44" s="11"/>
      <c r="J44" s="11"/>
      <c r="K44" s="10"/>
      <c r="L44" s="11"/>
      <c r="M44" s="11"/>
      <c r="N44" s="12"/>
    </row>
    <row r="45" spans="1:16384" x14ac:dyDescent="0.4">
      <c r="B45" s="1"/>
      <c r="C45" s="10">
        <f t="shared" si="17"/>
        <v>88.477488281250018</v>
      </c>
      <c r="D45" s="39">
        <f t="shared" si="2"/>
        <v>27605.233223848449</v>
      </c>
      <c r="E45" s="11">
        <f t="shared" si="12"/>
        <v>88.477488281250018</v>
      </c>
      <c r="F45" s="11"/>
      <c r="G45" s="10"/>
      <c r="H45" s="11"/>
      <c r="I45" s="11"/>
      <c r="J45" s="11"/>
      <c r="K45" s="10"/>
      <c r="L45" s="11"/>
      <c r="M45" s="11"/>
      <c r="N45" s="12"/>
    </row>
    <row r="46" spans="1:16384" x14ac:dyDescent="0.4">
      <c r="B46" s="1"/>
      <c r="C46" s="10">
        <f t="shared" si="17"/>
        <v>88.477488281250018</v>
      </c>
      <c r="D46" s="39">
        <f t="shared" si="2"/>
        <v>27606.325882466295</v>
      </c>
      <c r="E46" s="11">
        <f t="shared" si="12"/>
        <v>88.477488281250018</v>
      </c>
      <c r="F46" s="11"/>
      <c r="G46" s="10"/>
      <c r="H46" s="11"/>
      <c r="I46" s="11"/>
      <c r="J46" s="11"/>
      <c r="K46" s="10"/>
      <c r="L46" s="11"/>
      <c r="M46" s="11"/>
      <c r="N46" s="12"/>
    </row>
    <row r="47" spans="1:16384" x14ac:dyDescent="0.4">
      <c r="B47" s="1"/>
      <c r="C47" s="10">
        <f t="shared" si="17"/>
        <v>88.477488281250018</v>
      </c>
      <c r="D47" s="39">
        <f t="shared" si="2"/>
        <v>27607.422097811315</v>
      </c>
      <c r="E47" s="11">
        <f t="shared" si="12"/>
        <v>88.477488281250018</v>
      </c>
      <c r="F47" s="11"/>
      <c r="G47" s="10"/>
      <c r="H47" s="11"/>
      <c r="I47" s="11"/>
      <c r="J47" s="11"/>
      <c r="K47" s="10"/>
      <c r="L47" s="11"/>
      <c r="M47" s="11"/>
      <c r="N47" s="12"/>
    </row>
    <row r="48" spans="1:16384" x14ac:dyDescent="0.4">
      <c r="B48" s="1"/>
      <c r="C48" s="10">
        <f t="shared" si="17"/>
        <v>88.477488281250018</v>
      </c>
      <c r="D48" s="39">
        <f t="shared" si="2"/>
        <v>27608.52188146106</v>
      </c>
      <c r="E48" s="11">
        <f t="shared" si="12"/>
        <v>88.477488281250018</v>
      </c>
      <c r="F48" s="11"/>
      <c r="G48" s="10"/>
      <c r="H48" s="11"/>
      <c r="I48" s="11"/>
      <c r="J48" s="11"/>
      <c r="K48" s="10"/>
      <c r="L48" s="11"/>
      <c r="M48" s="11"/>
      <c r="N48" s="12"/>
    </row>
    <row r="49" spans="1:14" x14ac:dyDescent="0.4">
      <c r="B49" s="1"/>
      <c r="C49" s="10">
        <f t="shared" si="17"/>
        <v>88.477488281250018</v>
      </c>
      <c r="D49" s="39">
        <f t="shared" si="2"/>
        <v>27609.625245030766</v>
      </c>
      <c r="E49" s="11">
        <f t="shared" si="12"/>
        <v>88.477488281250018</v>
      </c>
      <c r="F49" s="11"/>
      <c r="G49" s="10"/>
      <c r="H49" s="11"/>
      <c r="I49" s="11"/>
      <c r="J49" s="11"/>
      <c r="K49" s="10"/>
      <c r="L49" s="11"/>
      <c r="M49" s="11"/>
      <c r="N49" s="12"/>
    </row>
    <row r="50" spans="1:14" x14ac:dyDescent="0.4">
      <c r="B50" s="1"/>
      <c r="C50" s="10">
        <f t="shared" si="17"/>
        <v>88.477488281250018</v>
      </c>
      <c r="D50" s="39">
        <f t="shared" si="2"/>
        <v>27610.732200173472</v>
      </c>
      <c r="E50" s="11">
        <f t="shared" si="12"/>
        <v>88.477488281250018</v>
      </c>
      <c r="F50" s="11"/>
      <c r="G50" s="10"/>
      <c r="H50" s="11"/>
      <c r="I50" s="11"/>
      <c r="J50" s="11"/>
      <c r="K50" s="10"/>
      <c r="L50" s="11"/>
      <c r="M50" s="11"/>
      <c r="N50" s="12"/>
    </row>
    <row r="51" spans="1:14" x14ac:dyDescent="0.4">
      <c r="A51">
        <f>A39+1</f>
        <v>5</v>
      </c>
      <c r="B51" s="1">
        <f>B39*(1+$P$3)</f>
        <v>31603.162500000002</v>
      </c>
      <c r="C51" s="10">
        <f>MAX(0,MIN((0.1*($B51-1.5*$P$12*(1+$P$18)^(A51-1))/12),$S$11))</f>
        <v>96.959894238281308</v>
      </c>
      <c r="D51" s="39">
        <f t="shared" si="2"/>
        <v>27611.842758580158</v>
      </c>
      <c r="E51" s="11">
        <f t="shared" si="12"/>
        <v>96.959894238281308</v>
      </c>
      <c r="F51" s="11">
        <f t="shared" si="4"/>
        <v>83.638456502900951</v>
      </c>
      <c r="G51" s="10">
        <f t="shared" si="5"/>
        <v>1163.5187308593756</v>
      </c>
      <c r="H51" s="11">
        <f>H39*(1+$S$5)-G51</f>
        <v>-1163.5187308593756</v>
      </c>
      <c r="I51" s="11">
        <f t="shared" si="13"/>
        <v>0</v>
      </c>
      <c r="J51" s="11">
        <f t="shared" si="6"/>
        <v>0</v>
      </c>
      <c r="K51" s="10">
        <f t="shared" si="7"/>
        <v>1745.2780962890631</v>
      </c>
      <c r="L51" s="11">
        <f>L39*(1+$S$5)-K51</f>
        <v>-1745.2780962890631</v>
      </c>
      <c r="M51" s="11">
        <f>IF(AND(SUM($K$3:K51)&gt;=$S$12,SUM($M$3:M39)&lt;$S$12),$S$12-SUM($M$3:M39),IF(AND(SUM($K$3:K39)&gt;=$S$12,SUM($M$3:M39)=$S$12),0,K51))</f>
        <v>1745.2780962890631</v>
      </c>
      <c r="N51" s="12">
        <f t="shared" si="8"/>
        <v>1505.4922170522168</v>
      </c>
    </row>
    <row r="52" spans="1:14" x14ac:dyDescent="0.4">
      <c r="B52" s="1"/>
      <c r="C52" s="10">
        <f>C51</f>
        <v>96.959894238281308</v>
      </c>
      <c r="D52" s="39">
        <f t="shared" si="2"/>
        <v>27604.446914833665</v>
      </c>
      <c r="E52" s="11">
        <f t="shared" si="12"/>
        <v>96.959894238281308</v>
      </c>
      <c r="F52" s="11"/>
      <c r="G52" s="10"/>
      <c r="H52" s="11"/>
      <c r="I52" s="11"/>
      <c r="J52" s="11"/>
      <c r="K52" s="10"/>
      <c r="L52" s="11"/>
      <c r="M52" s="11"/>
      <c r="N52" s="12"/>
    </row>
    <row r="53" spans="1:14" x14ac:dyDescent="0.4">
      <c r="B53" s="1"/>
      <c r="C53" s="10">
        <f t="shared" ref="C53:C62" si="18">C52</f>
        <v>96.959894238281308</v>
      </c>
      <c r="D53" s="39">
        <f t="shared" si="2"/>
        <v>27597.026996780693</v>
      </c>
      <c r="E53" s="11">
        <f t="shared" si="12"/>
        <v>96.959894238281308</v>
      </c>
      <c r="F53" s="11"/>
      <c r="G53" s="10"/>
      <c r="H53" s="11"/>
      <c r="I53" s="11"/>
      <c r="J53" s="11"/>
      <c r="K53" s="10"/>
      <c r="L53" s="11"/>
      <c r="M53" s="11"/>
      <c r="N53" s="12"/>
    </row>
    <row r="54" spans="1:14" x14ac:dyDescent="0.4">
      <c r="B54" s="1"/>
      <c r="C54" s="10">
        <f t="shared" si="18"/>
        <v>96.959894238281308</v>
      </c>
      <c r="D54" s="39">
        <f t="shared" si="2"/>
        <v>27589.582926056661</v>
      </c>
      <c r="E54" s="11">
        <f t="shared" si="12"/>
        <v>96.959894238281308</v>
      </c>
      <c r="F54" s="11"/>
      <c r="G54" s="10"/>
      <c r="H54" s="11"/>
      <c r="I54" s="11"/>
      <c r="J54" s="11"/>
      <c r="K54" s="10"/>
      <c r="L54" s="11"/>
      <c r="M54" s="11"/>
      <c r="N54" s="12"/>
    </row>
    <row r="55" spans="1:14" x14ac:dyDescent="0.4">
      <c r="B55" s="1"/>
      <c r="C55" s="10">
        <f t="shared" si="18"/>
        <v>96.959894238281308</v>
      </c>
      <c r="D55" s="39">
        <f t="shared" si="2"/>
        <v>27582.114624041893</v>
      </c>
      <c r="E55" s="11">
        <f t="shared" si="12"/>
        <v>96.959894238281308</v>
      </c>
      <c r="F55" s="11"/>
      <c r="G55" s="10"/>
      <c r="H55" s="11"/>
      <c r="I55" s="11"/>
      <c r="J55" s="11"/>
      <c r="K55" s="10"/>
      <c r="L55" s="11"/>
      <c r="M55" s="11"/>
      <c r="N55" s="12"/>
    </row>
    <row r="56" spans="1:14" x14ac:dyDescent="0.4">
      <c r="B56" s="1"/>
      <c r="C56" s="10">
        <f t="shared" si="18"/>
        <v>96.959894238281308</v>
      </c>
      <c r="D56" s="39">
        <f t="shared" si="2"/>
        <v>27574.622011860803</v>
      </c>
      <c r="E56" s="11">
        <f t="shared" si="12"/>
        <v>96.959894238281308</v>
      </c>
      <c r="F56" s="11"/>
      <c r="G56" s="10"/>
      <c r="H56" s="11"/>
      <c r="I56" s="11"/>
      <c r="J56" s="11"/>
      <c r="K56" s="10"/>
      <c r="L56" s="11"/>
      <c r="M56" s="11"/>
      <c r="N56" s="12"/>
    </row>
    <row r="57" spans="1:14" x14ac:dyDescent="0.4">
      <c r="B57" s="1"/>
      <c r="C57" s="10">
        <f t="shared" si="18"/>
        <v>96.959894238281308</v>
      </c>
      <c r="D57" s="39">
        <f t="shared" si="2"/>
        <v>27567.105010381059</v>
      </c>
      <c r="E57" s="11">
        <f t="shared" si="12"/>
        <v>96.959894238281308</v>
      </c>
      <c r="F57" s="11"/>
      <c r="G57" s="10"/>
      <c r="H57" s="11"/>
      <c r="I57" s="11"/>
      <c r="J57" s="11"/>
      <c r="K57" s="10"/>
      <c r="L57" s="11"/>
      <c r="M57" s="11"/>
      <c r="N57" s="12"/>
    </row>
    <row r="58" spans="1:14" x14ac:dyDescent="0.4">
      <c r="B58" s="1"/>
      <c r="C58" s="10">
        <f t="shared" si="18"/>
        <v>96.959894238281308</v>
      </c>
      <c r="D58" s="39">
        <f t="shared" si="2"/>
        <v>27559.563540212737</v>
      </c>
      <c r="E58" s="11">
        <f t="shared" si="12"/>
        <v>96.959894238281308</v>
      </c>
      <c r="F58" s="11"/>
      <c r="G58" s="10"/>
      <c r="H58" s="11"/>
      <c r="I58" s="11"/>
      <c r="J58" s="11"/>
      <c r="K58" s="10"/>
      <c r="L58" s="11"/>
      <c r="M58" s="11"/>
      <c r="N58" s="12"/>
    </row>
    <row r="59" spans="1:14" x14ac:dyDescent="0.4">
      <c r="B59" s="1"/>
      <c r="C59" s="10">
        <f t="shared" si="18"/>
        <v>96.959894238281308</v>
      </c>
      <c r="D59" s="39">
        <f t="shared" si="2"/>
        <v>27551.99752170749</v>
      </c>
      <c r="E59" s="11">
        <f t="shared" si="12"/>
        <v>96.959894238281308</v>
      </c>
      <c r="F59" s="11"/>
      <c r="G59" s="10"/>
      <c r="H59" s="11"/>
      <c r="I59" s="11"/>
      <c r="J59" s="11"/>
      <c r="K59" s="10"/>
      <c r="L59" s="11"/>
      <c r="M59" s="11"/>
      <c r="N59" s="12"/>
    </row>
    <row r="60" spans="1:14" x14ac:dyDescent="0.4">
      <c r="B60" s="1"/>
      <c r="C60" s="10">
        <f t="shared" si="18"/>
        <v>96.959894238281308</v>
      </c>
      <c r="D60" s="39">
        <f t="shared" si="2"/>
        <v>27544.406874957713</v>
      </c>
      <c r="E60" s="11">
        <f t="shared" si="12"/>
        <v>96.959894238281308</v>
      </c>
      <c r="F60" s="11"/>
      <c r="G60" s="10"/>
      <c r="H60" s="11"/>
      <c r="I60" s="11"/>
      <c r="J60" s="11"/>
      <c r="K60" s="10"/>
      <c r="L60" s="11"/>
      <c r="M60" s="11"/>
      <c r="N60" s="12"/>
    </row>
    <row r="61" spans="1:14" x14ac:dyDescent="0.4">
      <c r="B61" s="1"/>
      <c r="C61" s="10">
        <f t="shared" si="18"/>
        <v>96.959894238281308</v>
      </c>
      <c r="D61" s="39">
        <f t="shared" si="2"/>
        <v>27536.791519795686</v>
      </c>
      <c r="E61" s="11">
        <f t="shared" si="12"/>
        <v>96.959894238281308</v>
      </c>
      <c r="F61" s="11"/>
      <c r="G61" s="10"/>
      <c r="H61" s="11"/>
      <c r="I61" s="11"/>
      <c r="J61" s="11"/>
      <c r="K61" s="10"/>
      <c r="L61" s="11"/>
      <c r="M61" s="11"/>
      <c r="N61" s="12"/>
    </row>
    <row r="62" spans="1:14" x14ac:dyDescent="0.4">
      <c r="B62" s="1"/>
      <c r="C62" s="10">
        <f t="shared" si="18"/>
        <v>96.959894238281308</v>
      </c>
      <c r="D62" s="39">
        <f t="shared" si="2"/>
        <v>27529.151375792742</v>
      </c>
      <c r="E62" s="11">
        <f t="shared" si="12"/>
        <v>96.959894238281308</v>
      </c>
      <c r="F62" s="11"/>
      <c r="G62" s="10"/>
      <c r="H62" s="11"/>
      <c r="I62" s="11"/>
      <c r="J62" s="11"/>
      <c r="K62" s="10"/>
      <c r="L62" s="11"/>
      <c r="M62" s="11"/>
      <c r="N62" s="12"/>
    </row>
    <row r="63" spans="1:14" x14ac:dyDescent="0.4">
      <c r="A63">
        <f>A51+1</f>
        <v>6</v>
      </c>
      <c r="B63" s="1">
        <f>B51*(1+$P$3)</f>
        <v>33183.320625</v>
      </c>
      <c r="C63" s="10">
        <f>MAX(0,MIN((0.1*($B63-1.5*$P$12*(1+$P$18)^(A63-1))/12),$S$11))</f>
        <v>105.96788378173834</v>
      </c>
      <c r="D63" s="39">
        <f t="shared" si="2"/>
        <v>27521.486362258402</v>
      </c>
      <c r="E63" s="11">
        <f t="shared" si="12"/>
        <v>105.96788378173834</v>
      </c>
      <c r="F63" s="11">
        <f t="shared" si="4"/>
        <v>88.746434381289006</v>
      </c>
      <c r="G63" s="10">
        <f t="shared" si="5"/>
        <v>1271.61460538086</v>
      </c>
      <c r="H63" s="11">
        <f>H51*(1+$S$5)-G63</f>
        <v>-2480.510566743751</v>
      </c>
      <c r="I63" s="11">
        <f t="shared" si="13"/>
        <v>0</v>
      </c>
      <c r="J63" s="11">
        <f t="shared" si="6"/>
        <v>0</v>
      </c>
      <c r="K63" s="10">
        <f t="shared" si="7"/>
        <v>1907.4219080712899</v>
      </c>
      <c r="L63" s="11">
        <f>L51*(1+$S$5)-K63</f>
        <v>-3720.7658501156266</v>
      </c>
      <c r="M63" s="11">
        <f>IF(AND(SUM($K$3:K63)&gt;=$S$12,SUM($M$3:M51)&lt;$S$12),$S$12-SUM($M$3:M51),IF(AND(SUM($K$3:K51)&gt;=$S$12,SUM($M$3:M51)=$S$12),0,K63))</f>
        <v>1907.4219080712899</v>
      </c>
      <c r="N63" s="12">
        <f t="shared" si="8"/>
        <v>1597.435818863202</v>
      </c>
    </row>
    <row r="64" spans="1:14" x14ac:dyDescent="0.4">
      <c r="B64" s="1"/>
      <c r="C64" s="10">
        <f>C63</f>
        <v>105.96788378173834</v>
      </c>
      <c r="D64" s="39">
        <f t="shared" si="2"/>
        <v>27504.759086672999</v>
      </c>
      <c r="E64" s="11">
        <f t="shared" ref="E64:E74" si="19">MAX(IF(D64&gt;0,C64,C64+D64),0)</f>
        <v>105.96788378173834</v>
      </c>
      <c r="F64" s="11"/>
      <c r="G64" s="10"/>
      <c r="H64" s="11"/>
      <c r="I64" s="11"/>
      <c r="J64" s="11"/>
      <c r="K64" s="10"/>
      <c r="L64" s="11"/>
      <c r="M64" s="11"/>
      <c r="N64" s="12"/>
    </row>
    <row r="65" spans="1:14" x14ac:dyDescent="0.4">
      <c r="B65" s="1"/>
      <c r="C65" s="10">
        <f t="shared" ref="C65:C74" si="20">C64</f>
        <v>105.96788378173834</v>
      </c>
      <c r="D65" s="39">
        <f t="shared" si="2"/>
        <v>27487.977361916852</v>
      </c>
      <c r="E65" s="11">
        <f t="shared" si="19"/>
        <v>105.96788378173834</v>
      </c>
      <c r="F65" s="11"/>
      <c r="G65" s="10"/>
      <c r="H65" s="11"/>
      <c r="I65" s="11"/>
      <c r="J65" s="11"/>
      <c r="K65" s="10"/>
      <c r="L65" s="11"/>
      <c r="M65" s="11"/>
      <c r="N65" s="12"/>
    </row>
    <row r="66" spans="1:14" x14ac:dyDescent="0.4">
      <c r="B66" s="1"/>
      <c r="C66" s="10">
        <f t="shared" si="20"/>
        <v>105.96788378173834</v>
      </c>
      <c r="D66" s="39">
        <f t="shared" si="2"/>
        <v>27471.141010751759</v>
      </c>
      <c r="E66" s="11">
        <f t="shared" si="19"/>
        <v>105.96788378173834</v>
      </c>
      <c r="F66" s="11"/>
      <c r="G66" s="10"/>
      <c r="H66" s="11"/>
      <c r="I66" s="11"/>
      <c r="J66" s="11"/>
      <c r="K66" s="10"/>
      <c r="L66" s="11"/>
      <c r="M66" s="11"/>
      <c r="N66" s="12"/>
    </row>
    <row r="67" spans="1:14" x14ac:dyDescent="0.4">
      <c r="B67" s="1"/>
      <c r="C67" s="10">
        <f t="shared" si="20"/>
        <v>105.96788378173834</v>
      </c>
      <c r="D67" s="39">
        <f t="shared" si="2"/>
        <v>27454.249855362592</v>
      </c>
      <c r="E67" s="11">
        <f t="shared" si="19"/>
        <v>105.96788378173834</v>
      </c>
      <c r="F67" s="11"/>
      <c r="G67" s="10"/>
      <c r="H67" s="11"/>
      <c r="I67" s="11"/>
      <c r="J67" s="11"/>
      <c r="K67" s="10"/>
      <c r="L67" s="11"/>
      <c r="M67" s="11"/>
      <c r="N67" s="12"/>
    </row>
    <row r="68" spans="1:14" x14ac:dyDescent="0.4">
      <c r="B68" s="1"/>
      <c r="C68" s="10">
        <f t="shared" si="20"/>
        <v>105.96788378173834</v>
      </c>
      <c r="D68" s="39">
        <f t="shared" si="2"/>
        <v>27437.303717355415</v>
      </c>
      <c r="E68" s="11">
        <f t="shared" si="19"/>
        <v>105.96788378173834</v>
      </c>
      <c r="F68" s="11"/>
      <c r="G68" s="10"/>
      <c r="H68" s="11"/>
      <c r="I68" s="11"/>
      <c r="J68" s="11"/>
      <c r="K68" s="10"/>
      <c r="L68" s="11"/>
      <c r="M68" s="11"/>
      <c r="N68" s="12"/>
    </row>
    <row r="69" spans="1:14" x14ac:dyDescent="0.4">
      <c r="B69" s="1"/>
      <c r="C69" s="10">
        <f t="shared" si="20"/>
        <v>105.96788378173834</v>
      </c>
      <c r="D69" s="39">
        <f t="shared" ref="D69:D132" si="21">(D68-C68)*(1+$S$5/$S$7)^($S$7/12)</f>
        <v>27420.302417755596</v>
      </c>
      <c r="E69" s="11">
        <f t="shared" si="19"/>
        <v>105.96788378173834</v>
      </c>
      <c r="F69" s="11"/>
      <c r="G69" s="10"/>
      <c r="H69" s="11"/>
      <c r="I69" s="11"/>
      <c r="J69" s="11"/>
      <c r="K69" s="10"/>
      <c r="L69" s="11"/>
      <c r="M69" s="11"/>
      <c r="N69" s="12"/>
    </row>
    <row r="70" spans="1:14" x14ac:dyDescent="0.4">
      <c r="B70" s="1"/>
      <c r="C70" s="10">
        <f t="shared" si="20"/>
        <v>105.96788378173834</v>
      </c>
      <c r="D70" s="39">
        <f t="shared" si="21"/>
        <v>27403.245777005926</v>
      </c>
      <c r="E70" s="11">
        <f t="shared" si="19"/>
        <v>105.96788378173834</v>
      </c>
      <c r="F70" s="11"/>
      <c r="G70" s="10"/>
      <c r="H70" s="11"/>
      <c r="I70" s="11"/>
      <c r="J70" s="11"/>
      <c r="K70" s="10"/>
      <c r="L70" s="11"/>
      <c r="M70" s="11"/>
      <c r="N70" s="12"/>
    </row>
    <row r="71" spans="1:14" x14ac:dyDescent="0.4">
      <c r="B71" s="1"/>
      <c r="C71" s="10">
        <f t="shared" si="20"/>
        <v>105.96788378173834</v>
      </c>
      <c r="D71" s="39">
        <f t="shared" si="21"/>
        <v>27386.13361496471</v>
      </c>
      <c r="E71" s="11">
        <f t="shared" si="19"/>
        <v>105.96788378173834</v>
      </c>
      <c r="F71" s="11"/>
      <c r="G71" s="10"/>
      <c r="H71" s="11"/>
      <c r="I71" s="11"/>
      <c r="J71" s="11"/>
      <c r="K71" s="10"/>
      <c r="L71" s="11"/>
      <c r="M71" s="11"/>
      <c r="N71" s="12"/>
    </row>
    <row r="72" spans="1:14" x14ac:dyDescent="0.4">
      <c r="B72" s="1"/>
      <c r="C72" s="10">
        <f t="shared" si="20"/>
        <v>105.96788378173834</v>
      </c>
      <c r="D72" s="39">
        <f t="shared" si="21"/>
        <v>27368.965750903877</v>
      </c>
      <c r="E72" s="11">
        <f t="shared" si="19"/>
        <v>105.96788378173834</v>
      </c>
      <c r="F72" s="11"/>
      <c r="G72" s="10"/>
      <c r="H72" s="11"/>
      <c r="I72" s="11"/>
      <c r="J72" s="11"/>
      <c r="K72" s="10"/>
      <c r="L72" s="11"/>
      <c r="M72" s="11"/>
      <c r="N72" s="12"/>
    </row>
    <row r="73" spans="1:14" x14ac:dyDescent="0.4">
      <c r="B73" s="1"/>
      <c r="C73" s="10">
        <f t="shared" si="20"/>
        <v>105.96788378173834</v>
      </c>
      <c r="D73" s="39">
        <f t="shared" si="21"/>
        <v>27351.742003507065</v>
      </c>
      <c r="E73" s="11">
        <f t="shared" si="19"/>
        <v>105.96788378173834</v>
      </c>
      <c r="F73" s="11"/>
      <c r="G73" s="10"/>
      <c r="H73" s="11"/>
      <c r="I73" s="11"/>
      <c r="J73" s="11"/>
      <c r="K73" s="10"/>
      <c r="L73" s="11"/>
      <c r="M73" s="11"/>
      <c r="N73" s="12"/>
    </row>
    <row r="74" spans="1:14" x14ac:dyDescent="0.4">
      <c r="B74" s="1"/>
      <c r="C74" s="10">
        <f t="shared" si="20"/>
        <v>105.96788378173834</v>
      </c>
      <c r="D74" s="39">
        <f t="shared" si="21"/>
        <v>27334.462190867704</v>
      </c>
      <c r="E74" s="11">
        <f t="shared" si="19"/>
        <v>105.96788378173834</v>
      </c>
      <c r="F74" s="11"/>
      <c r="G74" s="10"/>
      <c r="H74" s="11"/>
      <c r="I74" s="11"/>
      <c r="J74" s="11"/>
      <c r="K74" s="10"/>
      <c r="L74" s="11"/>
      <c r="M74" s="11"/>
      <c r="N74" s="12"/>
    </row>
    <row r="75" spans="1:14" x14ac:dyDescent="0.4">
      <c r="A75">
        <f>A63+1</f>
        <v>7</v>
      </c>
      <c r="B75" s="1">
        <f>B63*(1+$P$3)</f>
        <v>34842.486656250003</v>
      </c>
      <c r="C75" s="10">
        <f>MAX(0,MIN((0.1*($B75-1.5*$P$12*(1+$P$18)^(A75-1))/12),$S$11))</f>
        <v>115.53027267315684</v>
      </c>
      <c r="D75" s="39">
        <f t="shared" si="21"/>
        <v>27317.126130487097</v>
      </c>
      <c r="E75" s="11">
        <f t="shared" si="12"/>
        <v>115.53027267315684</v>
      </c>
      <c r="F75" s="11">
        <f>E75/(1+$P$15)^A75</f>
        <v>93.936684013726861</v>
      </c>
      <c r="G75" s="10">
        <f>MAX(0,0.1*($B75-1.5*$P$12*(1+$P$18)^(A75-1)))</f>
        <v>1386.3632720778821</v>
      </c>
      <c r="H75" s="11">
        <f>H63*(1+$S$5)-G75</f>
        <v>-3963.6137509246391</v>
      </c>
      <c r="I75" s="11">
        <f t="shared" si="13"/>
        <v>0</v>
      </c>
      <c r="J75" s="11">
        <f>I75/(1+$P$15)^A75</f>
        <v>0</v>
      </c>
      <c r="K75" s="10">
        <f>MAX(25*12,0.15*($B75-1.5*$P$12*(1+$P$18)^(A75-1)))</f>
        <v>2079.5449081168231</v>
      </c>
      <c r="L75" s="11">
        <f>L63*(1+$S$5)-K75</f>
        <v>-5945.4206263869582</v>
      </c>
      <c r="M75" s="11">
        <f>IF(AND(SUM($K$3:K75)&gt;=$S$12,SUM($M$3:M63)&lt;$S$12),$S$12-SUM($M$3:M63),IF(AND(SUM($K$3:K63)&gt;=$S$12,SUM($M$3:M63)=$S$12),0,K75))</f>
        <v>2079.5449081168231</v>
      </c>
      <c r="N75" s="12">
        <f>M75/(1+$P$15)^A75</f>
        <v>1690.8603122470834</v>
      </c>
    </row>
    <row r="76" spans="1:14" x14ac:dyDescent="0.4">
      <c r="B76" s="1"/>
      <c r="C76" s="10">
        <f>C75</f>
        <v>115.53027267315684</v>
      </c>
      <c r="D76" s="39">
        <f t="shared" si="21"/>
        <v>27290.140123725523</v>
      </c>
      <c r="E76" s="11">
        <f t="shared" si="12"/>
        <v>115.53027267315684</v>
      </c>
      <c r="F76" s="11"/>
      <c r="G76" s="10"/>
      <c r="H76" s="11"/>
      <c r="I76" s="11"/>
      <c r="J76" s="11"/>
      <c r="K76" s="10"/>
      <c r="L76" s="11"/>
      <c r="M76" s="11"/>
      <c r="N76" s="12"/>
    </row>
    <row r="77" spans="1:14" x14ac:dyDescent="0.4">
      <c r="B77" s="1"/>
      <c r="C77" s="10">
        <f t="shared" ref="C77:C86" si="22">C76</f>
        <v>115.53027267315684</v>
      </c>
      <c r="D77" s="39">
        <f t="shared" si="21"/>
        <v>27263.066274464891</v>
      </c>
      <c r="E77" s="11">
        <f t="shared" si="12"/>
        <v>115.53027267315684</v>
      </c>
      <c r="F77" s="11"/>
      <c r="G77" s="10"/>
      <c r="H77" s="11"/>
      <c r="I77" s="11"/>
      <c r="J77" s="11"/>
      <c r="K77" s="10"/>
      <c r="L77" s="11"/>
      <c r="M77" s="11"/>
      <c r="N77" s="12"/>
    </row>
    <row r="78" spans="1:14" x14ac:dyDescent="0.4">
      <c r="B78" s="1"/>
      <c r="C78" s="10">
        <f t="shared" si="22"/>
        <v>115.53027267315684</v>
      </c>
      <c r="D78" s="39">
        <f t="shared" si="21"/>
        <v>27235.904296767945</v>
      </c>
      <c r="E78" s="11">
        <f t="shared" si="12"/>
        <v>115.53027267315684</v>
      </c>
      <c r="F78" s="11"/>
      <c r="G78" s="10"/>
      <c r="H78" s="11"/>
      <c r="I78" s="11"/>
      <c r="J78" s="11"/>
      <c r="K78" s="10"/>
      <c r="L78" s="11"/>
      <c r="M78" s="11"/>
      <c r="N78" s="12"/>
    </row>
    <row r="79" spans="1:14" x14ac:dyDescent="0.4">
      <c r="B79" s="1"/>
      <c r="C79" s="10">
        <f t="shared" si="22"/>
        <v>115.53027267315684</v>
      </c>
      <c r="D79" s="39">
        <f t="shared" si="21"/>
        <v>27208.653903766673</v>
      </c>
      <c r="E79" s="11">
        <f t="shared" si="12"/>
        <v>115.53027267315684</v>
      </c>
      <c r="F79" s="11"/>
      <c r="G79" s="10"/>
      <c r="H79" s="11"/>
      <c r="I79" s="11"/>
      <c r="J79" s="11"/>
      <c r="K79" s="10"/>
      <c r="L79" s="11"/>
      <c r="M79" s="11"/>
      <c r="N79" s="12"/>
    </row>
    <row r="80" spans="1:14" x14ac:dyDescent="0.4">
      <c r="B80" s="1"/>
      <c r="C80" s="10">
        <f t="shared" si="22"/>
        <v>115.53027267315684</v>
      </c>
      <c r="D80" s="39">
        <f t="shared" si="21"/>
        <v>27181.314807659281</v>
      </c>
      <c r="E80" s="11">
        <f t="shared" si="12"/>
        <v>115.53027267315684</v>
      </c>
      <c r="F80" s="11"/>
      <c r="G80" s="10"/>
      <c r="H80" s="11"/>
      <c r="I80" s="11"/>
      <c r="J80" s="11"/>
      <c r="K80" s="10"/>
      <c r="L80" s="11"/>
      <c r="M80" s="11"/>
      <c r="N80" s="12"/>
    </row>
    <row r="81" spans="1:14" x14ac:dyDescent="0.4">
      <c r="B81" s="1"/>
      <c r="C81" s="10">
        <f t="shared" si="22"/>
        <v>115.53027267315684</v>
      </c>
      <c r="D81" s="39">
        <f t="shared" si="21"/>
        <v>27153.886719707138</v>
      </c>
      <c r="E81" s="11">
        <f t="shared" si="12"/>
        <v>115.53027267315684</v>
      </c>
      <c r="F81" s="11"/>
      <c r="G81" s="10"/>
      <c r="H81" s="11"/>
      <c r="I81" s="11"/>
      <c r="J81" s="11"/>
      <c r="K81" s="10"/>
      <c r="L81" s="11"/>
      <c r="M81" s="11"/>
      <c r="N81" s="12"/>
    </row>
    <row r="82" spans="1:14" x14ac:dyDescent="0.4">
      <c r="B82" s="1"/>
      <c r="C82" s="10">
        <f t="shared" si="22"/>
        <v>115.53027267315684</v>
      </c>
      <c r="D82" s="39">
        <f t="shared" si="21"/>
        <v>27126.36935023174</v>
      </c>
      <c r="E82" s="11">
        <f t="shared" si="12"/>
        <v>115.53027267315684</v>
      </c>
      <c r="F82" s="11"/>
      <c r="G82" s="10"/>
      <c r="H82" s="11"/>
      <c r="I82" s="11"/>
      <c r="J82" s="11"/>
      <c r="K82" s="10"/>
      <c r="L82" s="11"/>
      <c r="M82" s="11"/>
      <c r="N82" s="12"/>
    </row>
    <row r="83" spans="1:14" x14ac:dyDescent="0.4">
      <c r="B83" s="1"/>
      <c r="C83" s="10">
        <f t="shared" si="22"/>
        <v>115.53027267315684</v>
      </c>
      <c r="D83" s="39">
        <f t="shared" si="21"/>
        <v>27098.762408611652</v>
      </c>
      <c r="E83" s="11">
        <f t="shared" si="12"/>
        <v>115.53027267315684</v>
      </c>
      <c r="F83" s="11"/>
      <c r="G83" s="10"/>
      <c r="H83" s="11"/>
      <c r="I83" s="11"/>
      <c r="J83" s="11"/>
      <c r="K83" s="10"/>
      <c r="L83" s="11"/>
      <c r="M83" s="11"/>
      <c r="N83" s="12"/>
    </row>
    <row r="84" spans="1:14" x14ac:dyDescent="0.4">
      <c r="B84" s="1"/>
      <c r="C84" s="10">
        <f t="shared" si="22"/>
        <v>115.53027267315684</v>
      </c>
      <c r="D84" s="39">
        <f t="shared" si="21"/>
        <v>27071.065603279429</v>
      </c>
      <c r="E84" s="11">
        <f t="shared" si="12"/>
        <v>115.53027267315684</v>
      </c>
      <c r="F84" s="11"/>
      <c r="G84" s="10"/>
      <c r="H84" s="11"/>
      <c r="I84" s="11"/>
      <c r="J84" s="11"/>
      <c r="K84" s="10"/>
      <c r="L84" s="11"/>
      <c r="M84" s="11"/>
      <c r="N84" s="12"/>
    </row>
    <row r="85" spans="1:14" x14ac:dyDescent="0.4">
      <c r="B85" s="1"/>
      <c r="C85" s="10">
        <f t="shared" si="22"/>
        <v>115.53027267315684</v>
      </c>
      <c r="D85" s="39">
        <f t="shared" si="21"/>
        <v>27043.278641718538</v>
      </c>
      <c r="E85" s="11">
        <f t="shared" si="12"/>
        <v>115.53027267315684</v>
      </c>
      <c r="F85" s="11"/>
      <c r="G85" s="10"/>
      <c r="H85" s="11"/>
      <c r="I85" s="11"/>
      <c r="J85" s="11"/>
      <c r="K85" s="10"/>
      <c r="L85" s="11"/>
      <c r="M85" s="11"/>
      <c r="N85" s="12"/>
    </row>
    <row r="86" spans="1:14" x14ac:dyDescent="0.4">
      <c r="B86" s="1"/>
      <c r="C86" s="10">
        <f t="shared" si="22"/>
        <v>115.53027267315684</v>
      </c>
      <c r="D86" s="39">
        <f t="shared" si="21"/>
        <v>27015.401230460277</v>
      </c>
      <c r="E86" s="11">
        <f t="shared" si="12"/>
        <v>115.53027267315684</v>
      </c>
      <c r="F86" s="11"/>
      <c r="G86" s="10"/>
      <c r="H86" s="11"/>
      <c r="I86" s="11"/>
      <c r="J86" s="11"/>
      <c r="K86" s="10"/>
      <c r="L86" s="11"/>
      <c r="M86" s="11"/>
      <c r="N86" s="12"/>
    </row>
    <row r="87" spans="1:14" x14ac:dyDescent="0.4">
      <c r="A87">
        <f>A75+1</f>
        <v>8</v>
      </c>
      <c r="B87" s="1">
        <f>B75*(1+$P$3)</f>
        <v>36584.610989062501</v>
      </c>
      <c r="C87" s="10">
        <f>MAX(0,MIN((0.1*($B87-1.5*$P$12*(1+$P$18)^(A87-1))/12),$S$11))</f>
        <v>125.67738087670448</v>
      </c>
      <c r="D87" s="39">
        <f t="shared" si="21"/>
        <v>26987.433075080669</v>
      </c>
      <c r="E87" s="11">
        <f t="shared" si="12"/>
        <v>125.67738087670448</v>
      </c>
      <c r="F87" s="11">
        <f>E87/(1+$P$15)^A87</f>
        <v>99.210885008460153</v>
      </c>
      <c r="G87" s="10">
        <f>MAX(0,0.1*($B87-1.5*$P$12*(1+$P$18)^(A87-1)))</f>
        <v>1508.1285705204536</v>
      </c>
      <c r="H87" s="11">
        <f>H75*(1+$S$5)-G87</f>
        <v>-5626.3232577311537</v>
      </c>
      <c r="I87" s="11">
        <f t="shared" si="13"/>
        <v>0</v>
      </c>
      <c r="J87" s="11">
        <f>I87/(1+$P$15)^A87</f>
        <v>0</v>
      </c>
      <c r="K87" s="10">
        <f>MAX(25*12,0.15*($B87-1.5*$P$12*(1+$P$18)^(A87-1)))</f>
        <v>2262.1928557806805</v>
      </c>
      <c r="L87" s="11">
        <f>L75*(1+$S$5)-K87</f>
        <v>-8439.4848865967288</v>
      </c>
      <c r="M87" s="11">
        <f>IF(AND(SUM($K$3:K87)&gt;=$S$12,SUM($M$3:M75)&lt;$S$12),$S$12-SUM($M$3:M75),IF(AND(SUM($K$3:K75)&gt;=$S$12,SUM($M$3:M75)=$S$12),0,K87))</f>
        <v>2262.1928557806805</v>
      </c>
      <c r="N87" s="12">
        <f>M87/(1+$P$15)^A87</f>
        <v>1785.7959301522826</v>
      </c>
    </row>
    <row r="88" spans="1:14" x14ac:dyDescent="0.4">
      <c r="B88" s="1"/>
      <c r="C88" s="10">
        <f>C87</f>
        <v>125.67738087670448</v>
      </c>
      <c r="D88" s="39">
        <f t="shared" si="21"/>
        <v>26949.19374201087</v>
      </c>
      <c r="E88" s="11">
        <f t="shared" ref="E88:E98" si="23">MAX(IF(D88&gt;0,C88,C88+D88),0)</f>
        <v>125.67738087670448</v>
      </c>
      <c r="F88" s="11"/>
      <c r="G88" s="10"/>
      <c r="H88" s="11"/>
      <c r="I88" s="11"/>
      <c r="J88" s="11"/>
      <c r="K88" s="10"/>
      <c r="L88" s="11"/>
      <c r="M88" s="11"/>
      <c r="N88" s="12"/>
    </row>
    <row r="89" spans="1:14" x14ac:dyDescent="0.4">
      <c r="B89" s="1"/>
      <c r="C89" s="10">
        <f t="shared" ref="C89:C98" si="24">C88</f>
        <v>125.67738087670448</v>
      </c>
      <c r="D89" s="39">
        <f t="shared" si="21"/>
        <v>26910.82993559424</v>
      </c>
      <c r="E89" s="11">
        <f t="shared" si="23"/>
        <v>125.67738087670448</v>
      </c>
      <c r="F89" s="11"/>
      <c r="G89" s="10"/>
      <c r="H89" s="11"/>
      <c r="I89" s="11"/>
      <c r="J89" s="11"/>
      <c r="K89" s="10"/>
      <c r="L89" s="11"/>
      <c r="M89" s="11"/>
      <c r="N89" s="12"/>
    </row>
    <row r="90" spans="1:14" x14ac:dyDescent="0.4">
      <c r="B90" s="1"/>
      <c r="C90" s="10">
        <f t="shared" si="24"/>
        <v>125.67738087670448</v>
      </c>
      <c r="D90" s="39">
        <f t="shared" si="21"/>
        <v>26872.341250655976</v>
      </c>
      <c r="E90" s="11">
        <f t="shared" si="23"/>
        <v>125.67738087670448</v>
      </c>
      <c r="F90" s="11"/>
      <c r="G90" s="10"/>
      <c r="H90" s="11"/>
      <c r="I90" s="11"/>
      <c r="J90" s="11"/>
      <c r="K90" s="10"/>
      <c r="L90" s="11"/>
      <c r="M90" s="11"/>
      <c r="N90" s="12"/>
    </row>
    <row r="91" spans="1:14" x14ac:dyDescent="0.4">
      <c r="B91" s="1"/>
      <c r="C91" s="10">
        <f t="shared" si="24"/>
        <v>125.67738087670448</v>
      </c>
      <c r="D91" s="39">
        <f t="shared" si="21"/>
        <v>26833.727280702395</v>
      </c>
      <c r="E91" s="11">
        <f t="shared" si="23"/>
        <v>125.67738087670448</v>
      </c>
      <c r="F91" s="11"/>
      <c r="G91" s="10"/>
      <c r="H91" s="11"/>
      <c r="I91" s="11"/>
      <c r="J91" s="11"/>
      <c r="K91" s="10"/>
      <c r="L91" s="11"/>
      <c r="M91" s="11"/>
      <c r="N91" s="12"/>
    </row>
    <row r="92" spans="1:14" x14ac:dyDescent="0.4">
      <c r="B92" s="1"/>
      <c r="C92" s="10">
        <f t="shared" si="24"/>
        <v>125.67738087670448</v>
      </c>
      <c r="D92" s="39">
        <f t="shared" si="21"/>
        <v>26794.98761791662</v>
      </c>
      <c r="E92" s="11">
        <f t="shared" si="23"/>
        <v>125.67738087670448</v>
      </c>
      <c r="F92" s="11"/>
      <c r="G92" s="10"/>
      <c r="H92" s="11"/>
      <c r="I92" s="11"/>
      <c r="J92" s="11"/>
      <c r="K92" s="10"/>
      <c r="L92" s="11"/>
      <c r="M92" s="11"/>
      <c r="N92" s="12"/>
    </row>
    <row r="93" spans="1:14" x14ac:dyDescent="0.4">
      <c r="B93" s="1"/>
      <c r="C93" s="10">
        <f t="shared" si="24"/>
        <v>125.67738087670448</v>
      </c>
      <c r="D93" s="39">
        <f t="shared" si="21"/>
        <v>26756.121853154295</v>
      </c>
      <c r="E93" s="11">
        <f t="shared" si="23"/>
        <v>125.67738087670448</v>
      </c>
      <c r="F93" s="11"/>
      <c r="G93" s="10"/>
      <c r="H93" s="11"/>
      <c r="I93" s="11"/>
      <c r="J93" s="11"/>
      <c r="K93" s="10"/>
      <c r="L93" s="11"/>
      <c r="M93" s="11"/>
      <c r="N93" s="12"/>
    </row>
    <row r="94" spans="1:14" x14ac:dyDescent="0.4">
      <c r="B94" s="1"/>
      <c r="C94" s="10">
        <f t="shared" si="24"/>
        <v>125.67738087670448</v>
      </c>
      <c r="D94" s="39">
        <f t="shared" si="21"/>
        <v>26717.129575939245</v>
      </c>
      <c r="E94" s="11">
        <f t="shared" si="23"/>
        <v>125.67738087670448</v>
      </c>
      <c r="F94" s="11"/>
      <c r="G94" s="10"/>
      <c r="H94" s="11"/>
      <c r="I94" s="11"/>
      <c r="J94" s="11"/>
      <c r="K94" s="10"/>
      <c r="L94" s="11"/>
      <c r="M94" s="11"/>
      <c r="N94" s="12"/>
    </row>
    <row r="95" spans="1:14" x14ac:dyDescent="0.4">
      <c r="B95" s="1"/>
      <c r="C95" s="10">
        <f t="shared" si="24"/>
        <v>125.67738087670448</v>
      </c>
      <c r="D95" s="39">
        <f t="shared" si="21"/>
        <v>26678.010374459154</v>
      </c>
      <c r="E95" s="11">
        <f t="shared" si="23"/>
        <v>125.67738087670448</v>
      </c>
      <c r="F95" s="11"/>
      <c r="G95" s="10"/>
      <c r="H95" s="11"/>
      <c r="I95" s="11"/>
      <c r="J95" s="11"/>
      <c r="K95" s="10"/>
      <c r="L95" s="11"/>
      <c r="M95" s="11"/>
      <c r="N95" s="12"/>
    </row>
    <row r="96" spans="1:14" x14ac:dyDescent="0.4">
      <c r="B96" s="1"/>
      <c r="C96" s="10">
        <f t="shared" si="24"/>
        <v>125.67738087670448</v>
      </c>
      <c r="D96" s="39">
        <f t="shared" si="21"/>
        <v>26638.763835561207</v>
      </c>
      <c r="E96" s="11">
        <f t="shared" si="23"/>
        <v>125.67738087670448</v>
      </c>
      <c r="F96" s="11"/>
      <c r="G96" s="10"/>
      <c r="H96" s="11"/>
      <c r="I96" s="11"/>
      <c r="J96" s="11"/>
      <c r="K96" s="10"/>
      <c r="L96" s="11"/>
      <c r="M96" s="11"/>
      <c r="N96" s="12"/>
    </row>
    <row r="97" spans="1:14" x14ac:dyDescent="0.4">
      <c r="B97" s="1"/>
      <c r="C97" s="10">
        <f t="shared" si="24"/>
        <v>125.67738087670448</v>
      </c>
      <c r="D97" s="39">
        <f t="shared" si="21"/>
        <v>26599.38954474773</v>
      </c>
      <c r="E97" s="11">
        <f t="shared" si="23"/>
        <v>125.67738087670448</v>
      </c>
      <c r="F97" s="11"/>
      <c r="G97" s="10"/>
      <c r="H97" s="11"/>
      <c r="I97" s="11"/>
      <c r="J97" s="11"/>
      <c r="K97" s="10"/>
      <c r="L97" s="11"/>
      <c r="M97" s="11"/>
      <c r="N97" s="12"/>
    </row>
    <row r="98" spans="1:14" x14ac:dyDescent="0.4">
      <c r="B98" s="1"/>
      <c r="C98" s="10">
        <f t="shared" si="24"/>
        <v>125.67738087670448</v>
      </c>
      <c r="D98" s="39">
        <f t="shared" si="21"/>
        <v>26559.887086171813</v>
      </c>
      <c r="E98" s="11">
        <f t="shared" si="23"/>
        <v>125.67738087670448</v>
      </c>
      <c r="F98" s="11"/>
      <c r="G98" s="10"/>
      <c r="H98" s="11"/>
      <c r="I98" s="11"/>
      <c r="J98" s="11"/>
      <c r="K98" s="10"/>
      <c r="L98" s="11"/>
      <c r="M98" s="11"/>
      <c r="N98" s="12"/>
    </row>
    <row r="99" spans="1:14" x14ac:dyDescent="0.4">
      <c r="A99">
        <f>A87+1</f>
        <v>9</v>
      </c>
      <c r="B99" s="1">
        <f>B87*(1+$P$3)</f>
        <v>38413.841538515626</v>
      </c>
      <c r="C99" s="10">
        <f>MAX(0,MIN((0.1*($B99-1.5*$P$12*(1+$P$18)^(A99-1))/12),$S$11))</f>
        <v>136.4411093546768</v>
      </c>
      <c r="D99" s="39">
        <f t="shared" si="21"/>
        <v>26520.256042632922</v>
      </c>
      <c r="E99" s="11">
        <f t="shared" si="12"/>
        <v>136.4411093546768</v>
      </c>
      <c r="F99" s="11">
        <f>E99/(1+$P$15)^A99</f>
        <v>104.57074918895086</v>
      </c>
      <c r="G99" s="10">
        <f>MAX(0,0.1*($B99-1.5*$P$12*(1+$P$18)^(A99-1)))</f>
        <v>1637.2933122561217</v>
      </c>
      <c r="H99" s="11">
        <f>H87*(1+$S$5)-G99</f>
        <v>-7483.0431770387895</v>
      </c>
      <c r="I99" s="11">
        <f t="shared" si="13"/>
        <v>0</v>
      </c>
      <c r="J99" s="11">
        <f>I99/(1+$P$15)^A99</f>
        <v>0</v>
      </c>
      <c r="K99" s="10">
        <f>MAX(25*12,0.15*($B99-1.5*$P$12*(1+$P$18)^(A99-1)))</f>
        <v>2455.9399683841821</v>
      </c>
      <c r="L99" s="11">
        <f>L87*(1+$S$5)-K99</f>
        <v>-11224.564765558183</v>
      </c>
      <c r="M99" s="11">
        <f>IF(AND(SUM($K$3:K99)&gt;=$S$12,SUM($M$3:M87)&lt;$S$12),$S$12-SUM($M$3:M87),IF(AND(SUM($K$3:K87)&gt;=$S$12,SUM($M$3:M87)=$S$12),0,K99))</f>
        <v>2455.9399683841821</v>
      </c>
      <c r="N99" s="12">
        <f>M99/(1+$P$15)^A99</f>
        <v>1882.2734854011153</v>
      </c>
    </row>
    <row r="100" spans="1:14" x14ac:dyDescent="0.4">
      <c r="B100" s="1"/>
      <c r="C100" s="10">
        <f>C99</f>
        <v>136.4411093546768</v>
      </c>
      <c r="D100" s="39">
        <f t="shared" si="21"/>
        <v>26469.697229942951</v>
      </c>
      <c r="E100" s="11">
        <f t="shared" si="12"/>
        <v>136.4411093546768</v>
      </c>
      <c r="F100" s="11"/>
      <c r="G100" s="10"/>
      <c r="H100" s="11"/>
      <c r="I100" s="11"/>
      <c r="J100" s="11"/>
      <c r="K100" s="10"/>
      <c r="L100" s="11"/>
      <c r="M100" s="11"/>
      <c r="N100" s="12"/>
    </row>
    <row r="101" spans="1:14" x14ac:dyDescent="0.4">
      <c r="B101" s="1"/>
      <c r="C101" s="10">
        <f t="shared" ref="C101:C110" si="25">C100</f>
        <v>136.4411093546768</v>
      </c>
      <c r="D101" s="39">
        <f t="shared" si="21"/>
        <v>26418.973842608964</v>
      </c>
      <c r="E101" s="11">
        <f t="shared" si="12"/>
        <v>136.4411093546768</v>
      </c>
      <c r="F101" s="11"/>
      <c r="G101" s="10"/>
      <c r="H101" s="11"/>
      <c r="I101" s="11"/>
      <c r="J101" s="11"/>
      <c r="K101" s="10"/>
      <c r="L101" s="11"/>
      <c r="M101" s="11"/>
      <c r="N101" s="12"/>
    </row>
    <row r="102" spans="1:14" x14ac:dyDescent="0.4">
      <c r="B102" s="1"/>
      <c r="C102" s="10">
        <f t="shared" si="25"/>
        <v>136.4411093546768</v>
      </c>
      <c r="D102" s="39">
        <f t="shared" si="21"/>
        <v>26368.08534492191</v>
      </c>
      <c r="E102" s="11">
        <f t="shared" si="12"/>
        <v>136.4411093546768</v>
      </c>
      <c r="F102" s="11"/>
      <c r="G102" s="10"/>
      <c r="H102" s="11"/>
      <c r="I102" s="11"/>
      <c r="J102" s="11"/>
      <c r="K102" s="10"/>
      <c r="L102" s="11"/>
      <c r="M102" s="11"/>
      <c r="N102" s="12"/>
    </row>
    <row r="103" spans="1:14" x14ac:dyDescent="0.4">
      <c r="B103" s="1"/>
      <c r="C103" s="10">
        <f t="shared" si="25"/>
        <v>136.4411093546768</v>
      </c>
      <c r="D103" s="39">
        <f t="shared" si="21"/>
        <v>26317.031199428948</v>
      </c>
      <c r="E103" s="11">
        <f t="shared" si="12"/>
        <v>136.4411093546768</v>
      </c>
      <c r="F103" s="11"/>
      <c r="G103" s="10"/>
      <c r="H103" s="11"/>
      <c r="I103" s="11"/>
      <c r="J103" s="11"/>
      <c r="K103" s="10"/>
      <c r="L103" s="11"/>
      <c r="M103" s="11"/>
      <c r="N103" s="12"/>
    </row>
    <row r="104" spans="1:14" x14ac:dyDescent="0.4">
      <c r="B104" s="1"/>
      <c r="C104" s="10">
        <f t="shared" si="25"/>
        <v>136.4411093546768</v>
      </c>
      <c r="D104" s="39">
        <f t="shared" si="21"/>
        <v>26265.810866927768</v>
      </c>
      <c r="E104" s="11">
        <f t="shared" si="12"/>
        <v>136.4411093546768</v>
      </c>
      <c r="F104" s="11"/>
      <c r="G104" s="10"/>
      <c r="H104" s="11"/>
      <c r="I104" s="11"/>
      <c r="J104" s="11"/>
      <c r="K104" s="10"/>
      <c r="L104" s="11"/>
      <c r="M104" s="11"/>
      <c r="N104" s="12"/>
    </row>
    <row r="105" spans="1:14" x14ac:dyDescent="0.4">
      <c r="B105" s="1"/>
      <c r="C105" s="10">
        <f t="shared" si="25"/>
        <v>136.4411093546768</v>
      </c>
      <c r="D105" s="39">
        <f t="shared" si="21"/>
        <v>26214.423806460891</v>
      </c>
      <c r="E105" s="11">
        <f t="shared" si="12"/>
        <v>136.4411093546768</v>
      </c>
      <c r="F105" s="11"/>
      <c r="G105" s="10"/>
      <c r="H105" s="11"/>
      <c r="I105" s="11"/>
      <c r="J105" s="11"/>
      <c r="K105" s="10"/>
      <c r="L105" s="11"/>
      <c r="M105" s="11"/>
      <c r="N105" s="12"/>
    </row>
    <row r="106" spans="1:14" x14ac:dyDescent="0.4">
      <c r="B106" s="1"/>
      <c r="C106" s="10">
        <f t="shared" si="25"/>
        <v>136.4411093546768</v>
      </c>
      <c r="D106" s="39">
        <f t="shared" si="21"/>
        <v>26162.869475309963</v>
      </c>
      <c r="E106" s="11">
        <f t="shared" si="12"/>
        <v>136.4411093546768</v>
      </c>
      <c r="F106" s="11"/>
      <c r="G106" s="10"/>
      <c r="H106" s="11"/>
      <c r="I106" s="11"/>
      <c r="J106" s="11"/>
      <c r="K106" s="10"/>
      <c r="L106" s="11"/>
      <c r="M106" s="11"/>
      <c r="N106" s="12"/>
    </row>
    <row r="107" spans="1:14" x14ac:dyDescent="0.4">
      <c r="B107" s="1"/>
      <c r="C107" s="10">
        <f t="shared" si="25"/>
        <v>136.4411093546768</v>
      </c>
      <c r="D107" s="39">
        <f t="shared" si="21"/>
        <v>26111.14732899002</v>
      </c>
      <c r="E107" s="11">
        <f t="shared" si="12"/>
        <v>136.4411093546768</v>
      </c>
      <c r="F107" s="11"/>
      <c r="G107" s="10"/>
      <c r="H107" s="11"/>
      <c r="I107" s="11"/>
      <c r="J107" s="11"/>
      <c r="K107" s="10"/>
      <c r="L107" s="11"/>
      <c r="M107" s="11"/>
      <c r="N107" s="12"/>
    </row>
    <row r="108" spans="1:14" x14ac:dyDescent="0.4">
      <c r="B108" s="1"/>
      <c r="C108" s="10">
        <f t="shared" si="25"/>
        <v>136.4411093546768</v>
      </c>
      <c r="D108" s="39">
        <f t="shared" si="21"/>
        <v>26059.256821243744</v>
      </c>
      <c r="E108" s="11">
        <f t="shared" si="12"/>
        <v>136.4411093546768</v>
      </c>
      <c r="F108" s="11"/>
      <c r="G108" s="10"/>
      <c r="H108" s="11"/>
      <c r="I108" s="11"/>
      <c r="J108" s="11"/>
      <c r="K108" s="10"/>
      <c r="L108" s="11"/>
      <c r="M108" s="11"/>
      <c r="N108" s="12"/>
    </row>
    <row r="109" spans="1:14" x14ac:dyDescent="0.4">
      <c r="B109" s="1"/>
      <c r="C109" s="10">
        <f t="shared" si="25"/>
        <v>136.4411093546768</v>
      </c>
      <c r="D109" s="39">
        <f t="shared" si="21"/>
        <v>26007.197404035676</v>
      </c>
      <c r="E109" s="11">
        <f t="shared" si="12"/>
        <v>136.4411093546768</v>
      </c>
      <c r="F109" s="11"/>
      <c r="G109" s="10"/>
      <c r="H109" s="11"/>
      <c r="I109" s="11"/>
      <c r="J109" s="11"/>
      <c r="K109" s="10"/>
      <c r="L109" s="11"/>
      <c r="M109" s="11"/>
      <c r="N109" s="12"/>
    </row>
    <row r="110" spans="1:14" x14ac:dyDescent="0.4">
      <c r="B110" s="1"/>
      <c r="C110" s="10">
        <f t="shared" si="25"/>
        <v>136.4411093546768</v>
      </c>
      <c r="D110" s="39">
        <f t="shared" si="21"/>
        <v>25954.968527546447</v>
      </c>
      <c r="E110" s="11">
        <f t="shared" si="12"/>
        <v>136.4411093546768</v>
      </c>
      <c r="F110" s="11"/>
      <c r="G110" s="10"/>
      <c r="H110" s="11"/>
      <c r="I110" s="11"/>
      <c r="J110" s="11"/>
      <c r="K110" s="10"/>
      <c r="L110" s="11"/>
      <c r="M110" s="11"/>
      <c r="N110" s="12"/>
    </row>
    <row r="111" spans="1:14" x14ac:dyDescent="0.4">
      <c r="A111">
        <f>A99+1</f>
        <v>10</v>
      </c>
      <c r="B111" s="1">
        <f>B99*(1+$P$3)</f>
        <v>40334.533615441411</v>
      </c>
      <c r="C111" s="10">
        <f>MAX(0,MIN((0.1*($B111-1.5*$P$12*(1+$P$18)^(A111-1))/12),$S$11))</f>
        <v>147.85502074240119</v>
      </c>
      <c r="D111" s="39">
        <f t="shared" si="21"/>
        <v>25902.569640166963</v>
      </c>
      <c r="E111" s="11">
        <f t="shared" si="12"/>
        <v>147.85502074240119</v>
      </c>
      <c r="F111" s="11">
        <f>E111/(1+$P$15)^A111</f>
        <v>110.01802122134981</v>
      </c>
      <c r="G111" s="10">
        <f>MAX(0,0.1*($B111-1.5*$P$12*(1+$P$18)^(A111-1)))</f>
        <v>1774.2602489088142</v>
      </c>
      <c r="H111" s="11">
        <f>H99*(1+$S$5)-G111</f>
        <v>-9549.1421098521168</v>
      </c>
      <c r="I111" s="11">
        <f t="shared" si="13"/>
        <v>0</v>
      </c>
      <c r="J111" s="11">
        <f>I111/(1+$P$15)^A111</f>
        <v>0</v>
      </c>
      <c r="K111" s="10">
        <f>MAX(25*12,0.15*($B111-1.5*$P$12*(1+$P$18)^(A111-1)))</f>
        <v>2661.390373363221</v>
      </c>
      <c r="L111" s="11">
        <f>L99*(1+$S$5)-K111</f>
        <v>-14323.713164778173</v>
      </c>
      <c r="M111" s="11">
        <f>IF(AND(SUM($K$3:K111)&gt;=$S$12,SUM($M$3:M99)&lt;$S$12),$S$12-SUM($M$3:M99),IF(AND(SUM($K$3:K99)&gt;=$S$12,SUM($M$3:M99)=$S$12),0,K111))</f>
        <v>2661.390373363221</v>
      </c>
      <c r="N111" s="12">
        <f>M111/(1+$P$15)^A111</f>
        <v>1980.3243819842962</v>
      </c>
    </row>
    <row r="112" spans="1:14" x14ac:dyDescent="0.4">
      <c r="B112" s="1"/>
      <c r="C112" s="10">
        <f>C111</f>
        <v>147.85502074240119</v>
      </c>
      <c r="D112" s="39">
        <f t="shared" si="21"/>
        <v>25838.549123534518</v>
      </c>
      <c r="E112" s="11">
        <f t="shared" ref="E112:E122" si="26">MAX(IF(D112&gt;0,C112,C112+D112),0)</f>
        <v>147.85502074240119</v>
      </c>
      <c r="F112" s="11"/>
      <c r="G112" s="10"/>
      <c r="H112" s="11"/>
      <c r="I112" s="11"/>
      <c r="J112" s="11"/>
      <c r="K112" s="10"/>
      <c r="L112" s="11"/>
      <c r="M112" s="11"/>
      <c r="N112" s="12"/>
    </row>
    <row r="113" spans="1:14" x14ac:dyDescent="0.4">
      <c r="B113" s="1"/>
      <c r="C113" s="10">
        <f t="shared" ref="C113:C122" si="27">C112</f>
        <v>147.85502074240119</v>
      </c>
      <c r="D113" s="39">
        <f t="shared" si="21"/>
        <v>25774.320212891733</v>
      </c>
      <c r="E113" s="11">
        <f t="shared" si="26"/>
        <v>147.85502074240119</v>
      </c>
      <c r="F113" s="11"/>
      <c r="G113" s="10"/>
      <c r="H113" s="11"/>
      <c r="I113" s="11"/>
      <c r="J113" s="11"/>
      <c r="K113" s="10"/>
      <c r="L113" s="11"/>
      <c r="M113" s="11"/>
      <c r="N113" s="12"/>
    </row>
    <row r="114" spans="1:14" x14ac:dyDescent="0.4">
      <c r="B114" s="1"/>
      <c r="C114" s="10">
        <f t="shared" si="27"/>
        <v>147.85502074240119</v>
      </c>
      <c r="D114" s="39">
        <f t="shared" si="21"/>
        <v>25709.882229892573</v>
      </c>
      <c r="E114" s="11">
        <f t="shared" si="26"/>
        <v>147.85502074240119</v>
      </c>
      <c r="F114" s="11"/>
      <c r="G114" s="10"/>
      <c r="H114" s="11"/>
      <c r="I114" s="11"/>
      <c r="J114" s="11"/>
      <c r="K114" s="10"/>
      <c r="L114" s="11"/>
      <c r="M114" s="11"/>
      <c r="N114" s="12"/>
    </row>
    <row r="115" spans="1:14" x14ac:dyDescent="0.4">
      <c r="B115" s="1"/>
      <c r="C115" s="10">
        <f t="shared" si="27"/>
        <v>147.85502074240119</v>
      </c>
      <c r="D115" s="39">
        <f t="shared" si="21"/>
        <v>25645.234493982909</v>
      </c>
      <c r="E115" s="11">
        <f t="shared" si="26"/>
        <v>147.85502074240119</v>
      </c>
      <c r="F115" s="11"/>
      <c r="G115" s="10"/>
      <c r="H115" s="11"/>
      <c r="I115" s="11"/>
      <c r="J115" s="11"/>
      <c r="K115" s="10"/>
      <c r="L115" s="11"/>
      <c r="M115" s="11"/>
      <c r="N115" s="12"/>
    </row>
    <row r="116" spans="1:14" x14ac:dyDescent="0.4">
      <c r="B116" s="1"/>
      <c r="C116" s="10">
        <f t="shared" si="27"/>
        <v>147.85502074240119</v>
      </c>
      <c r="D116" s="39">
        <f t="shared" si="21"/>
        <v>25580.376322393335</v>
      </c>
      <c r="E116" s="11">
        <f t="shared" si="26"/>
        <v>147.85502074240119</v>
      </c>
      <c r="F116" s="11"/>
      <c r="G116" s="10"/>
      <c r="H116" s="11"/>
      <c r="I116" s="11"/>
      <c r="J116" s="11"/>
      <c r="K116" s="10"/>
      <c r="L116" s="11"/>
      <c r="M116" s="11"/>
      <c r="N116" s="12"/>
    </row>
    <row r="117" spans="1:14" x14ac:dyDescent="0.4">
      <c r="B117" s="1"/>
      <c r="C117" s="10">
        <f t="shared" si="27"/>
        <v>147.85502074240119</v>
      </c>
      <c r="D117" s="39">
        <f t="shared" si="21"/>
        <v>25515.307030131953</v>
      </c>
      <c r="E117" s="11">
        <f t="shared" si="26"/>
        <v>147.85502074240119</v>
      </c>
      <c r="F117" s="11"/>
      <c r="G117" s="10"/>
      <c r="H117" s="11"/>
      <c r="I117" s="11"/>
      <c r="J117" s="11"/>
      <c r="K117" s="10"/>
      <c r="L117" s="11"/>
      <c r="M117" s="11"/>
      <c r="N117" s="12"/>
    </row>
    <row r="118" spans="1:14" x14ac:dyDescent="0.4">
      <c r="B118" s="1"/>
      <c r="C118" s="10">
        <f t="shared" si="27"/>
        <v>147.85502074240119</v>
      </c>
      <c r="D118" s="39">
        <f t="shared" si="21"/>
        <v>25450.025929977139</v>
      </c>
      <c r="E118" s="11">
        <f t="shared" si="26"/>
        <v>147.85502074240119</v>
      </c>
      <c r="F118" s="11"/>
      <c r="G118" s="10"/>
      <c r="H118" s="11"/>
      <c r="I118" s="11"/>
      <c r="J118" s="11"/>
      <c r="K118" s="10"/>
      <c r="L118" s="11"/>
      <c r="M118" s="11"/>
      <c r="N118" s="12"/>
    </row>
    <row r="119" spans="1:14" x14ac:dyDescent="0.4">
      <c r="B119" s="1"/>
      <c r="C119" s="10">
        <f t="shared" si="27"/>
        <v>147.85502074240119</v>
      </c>
      <c r="D119" s="39">
        <f t="shared" si="21"/>
        <v>25384.53233247028</v>
      </c>
      <c r="E119" s="11">
        <f t="shared" si="26"/>
        <v>147.85502074240119</v>
      </c>
      <c r="F119" s="11"/>
      <c r="G119" s="10"/>
      <c r="H119" s="11"/>
      <c r="I119" s="11"/>
      <c r="J119" s="11"/>
      <c r="K119" s="10"/>
      <c r="L119" s="11"/>
      <c r="M119" s="11"/>
      <c r="N119" s="12"/>
    </row>
    <row r="120" spans="1:14" x14ac:dyDescent="0.4">
      <c r="B120" s="1"/>
      <c r="C120" s="10">
        <f t="shared" si="27"/>
        <v>147.85502074240119</v>
      </c>
      <c r="D120" s="39">
        <f t="shared" si="21"/>
        <v>25318.825545908509</v>
      </c>
      <c r="E120" s="11">
        <f t="shared" si="26"/>
        <v>147.85502074240119</v>
      </c>
      <c r="F120" s="11"/>
      <c r="G120" s="10"/>
      <c r="H120" s="11"/>
      <c r="I120" s="11"/>
      <c r="J120" s="11"/>
      <c r="K120" s="10"/>
      <c r="L120" s="11"/>
      <c r="M120" s="11"/>
      <c r="N120" s="12"/>
    </row>
    <row r="121" spans="1:14" x14ac:dyDescent="0.4">
      <c r="B121" s="1"/>
      <c r="C121" s="10">
        <f t="shared" si="27"/>
        <v>147.85502074240119</v>
      </c>
      <c r="D121" s="39">
        <f t="shared" si="21"/>
        <v>25252.904876337372</v>
      </c>
      <c r="E121" s="11">
        <f t="shared" si="26"/>
        <v>147.85502074240119</v>
      </c>
      <c r="F121" s="11"/>
      <c r="G121" s="10"/>
      <c r="H121" s="11"/>
      <c r="I121" s="11"/>
      <c r="J121" s="11"/>
      <c r="K121" s="10"/>
      <c r="L121" s="11"/>
      <c r="M121" s="11"/>
      <c r="N121" s="12"/>
    </row>
    <row r="122" spans="1:14" x14ac:dyDescent="0.4">
      <c r="B122" s="1"/>
      <c r="C122" s="10">
        <f t="shared" si="27"/>
        <v>147.85502074240119</v>
      </c>
      <c r="D122" s="39">
        <f t="shared" si="21"/>
        <v>25186.76962754353</v>
      </c>
      <c r="E122" s="11">
        <f t="shared" si="26"/>
        <v>147.85502074240119</v>
      </c>
      <c r="F122" s="11"/>
      <c r="G122" s="10"/>
      <c r="H122" s="11"/>
      <c r="I122" s="11"/>
      <c r="J122" s="11"/>
      <c r="K122" s="10"/>
      <c r="L122" s="11"/>
      <c r="M122" s="11"/>
      <c r="N122" s="12"/>
    </row>
    <row r="123" spans="1:14" x14ac:dyDescent="0.4">
      <c r="A123">
        <f>A111+1</f>
        <v>11</v>
      </c>
      <c r="B123" s="1">
        <f>B111*(1+$P$3)</f>
        <v>42351.260296213484</v>
      </c>
      <c r="C123" s="10">
        <f>MAX(0,MIN((0.1*($B123-1.5*$P$12*(1+$P$18)^(A123-1))/12),$S$11))</f>
        <v>159.95442409751158</v>
      </c>
      <c r="D123" s="39">
        <f t="shared" si="21"/>
        <v>25120.419101047381</v>
      </c>
      <c r="E123" s="11">
        <f t="shared" si="12"/>
        <v>159.95442409751158</v>
      </c>
      <c r="F123" s="11">
        <f>E123/(1+$P$15)^A123</f>
        <v>115.55447925414414</v>
      </c>
      <c r="G123" s="10">
        <f>MAX(0,0.1*($B123-1.5*$P$12*(1+$P$18)^(A123-1)))</f>
        <v>1919.4530891701388</v>
      </c>
      <c r="H123" s="11">
        <f>H111*(1+$S$5)-G123</f>
        <v>-11841.011741306487</v>
      </c>
      <c r="I123" s="11">
        <f t="shared" si="13"/>
        <v>0</v>
      </c>
      <c r="J123" s="11">
        <f>I123/(1+$P$15)^A123</f>
        <v>0</v>
      </c>
      <c r="K123" s="10">
        <f>MAX(25*12,0.15*($B123-1.5*$P$12*(1+$P$18)^(A123-1)))</f>
        <v>2879.1796337552078</v>
      </c>
      <c r="L123" s="11">
        <f>L111*(1+$S$5)-K123</f>
        <v>-17761.517611959731</v>
      </c>
      <c r="M123" s="11">
        <f>IF(AND(SUM($K$3:K123)&gt;=$S$12,SUM($M$3:M111)&lt;$S$12),$S$12-SUM($M$3:M111),IF(AND(SUM($K$3:K111)&gt;=$S$12,SUM($M$3:M111)=$S$12),0,K123))</f>
        <v>2879.1796337552078</v>
      </c>
      <c r="N123" s="12">
        <f>M123/(1+$P$15)^A123</f>
        <v>2079.9806265745942</v>
      </c>
    </row>
    <row r="124" spans="1:14" x14ac:dyDescent="0.4">
      <c r="B124" s="1"/>
      <c r="C124" s="10">
        <f>C123</f>
        <v>159.95442409751158</v>
      </c>
      <c r="D124" s="39">
        <f t="shared" si="21"/>
        <v>25041.713807816493</v>
      </c>
      <c r="E124" s="11">
        <f t="shared" si="12"/>
        <v>159.95442409751158</v>
      </c>
      <c r="F124" s="11"/>
      <c r="G124" s="10"/>
      <c r="H124" s="11"/>
      <c r="I124" s="11"/>
      <c r="J124" s="11"/>
      <c r="K124" s="10"/>
      <c r="L124" s="11"/>
      <c r="M124" s="11"/>
      <c r="N124" s="12"/>
    </row>
    <row r="125" spans="1:14" x14ac:dyDescent="0.4">
      <c r="B125" s="1"/>
      <c r="C125" s="10">
        <f t="shared" ref="C125:C134" si="28">C124</f>
        <v>159.95442409751158</v>
      </c>
      <c r="D125" s="39">
        <f t="shared" si="21"/>
        <v>24962.752319969346</v>
      </c>
      <c r="E125" s="11">
        <f t="shared" si="12"/>
        <v>159.95442409751158</v>
      </c>
      <c r="F125" s="11"/>
      <c r="G125" s="10"/>
      <c r="H125" s="11"/>
      <c r="I125" s="11"/>
      <c r="J125" s="11"/>
      <c r="K125" s="10"/>
      <c r="L125" s="11"/>
      <c r="M125" s="11"/>
      <c r="N125" s="12"/>
    </row>
    <row r="126" spans="1:14" x14ac:dyDescent="0.4">
      <c r="B126" s="1"/>
      <c r="C126" s="10">
        <f t="shared" si="28"/>
        <v>159.95442409751158</v>
      </c>
      <c r="D126" s="39">
        <f t="shared" si="21"/>
        <v>24883.533803563532</v>
      </c>
      <c r="E126" s="11">
        <f t="shared" si="12"/>
        <v>159.95442409751158</v>
      </c>
      <c r="F126" s="11"/>
      <c r="G126" s="10"/>
      <c r="H126" s="11"/>
      <c r="I126" s="11"/>
      <c r="J126" s="11"/>
      <c r="K126" s="10"/>
      <c r="L126" s="11"/>
      <c r="M126" s="11"/>
      <c r="N126" s="12"/>
    </row>
    <row r="127" spans="1:14" x14ac:dyDescent="0.4">
      <c r="B127" s="1"/>
      <c r="C127" s="10">
        <f t="shared" si="28"/>
        <v>159.95442409751158</v>
      </c>
      <c r="D127" s="39">
        <f t="shared" si="21"/>
        <v>24804.057421942074</v>
      </c>
      <c r="E127" s="11">
        <f t="shared" si="12"/>
        <v>159.95442409751158</v>
      </c>
      <c r="F127" s="11"/>
      <c r="G127" s="10"/>
      <c r="H127" s="11"/>
      <c r="I127" s="11"/>
      <c r="J127" s="11"/>
      <c r="K127" s="10"/>
      <c r="L127" s="11"/>
      <c r="M127" s="11"/>
      <c r="N127" s="12"/>
    </row>
    <row r="128" spans="1:14" x14ac:dyDescent="0.4">
      <c r="B128" s="1"/>
      <c r="C128" s="10">
        <f t="shared" si="28"/>
        <v>159.95442409751158</v>
      </c>
      <c r="D128" s="39">
        <f t="shared" si="21"/>
        <v>24724.322335724581</v>
      </c>
      <c r="E128" s="11">
        <f t="shared" si="12"/>
        <v>159.95442409751158</v>
      </c>
      <c r="F128" s="11"/>
      <c r="G128" s="10"/>
      <c r="H128" s="11"/>
      <c r="I128" s="11"/>
      <c r="J128" s="11"/>
      <c r="K128" s="10"/>
      <c r="L128" s="11"/>
      <c r="M128" s="11"/>
      <c r="N128" s="12"/>
    </row>
    <row r="129" spans="1:14" x14ac:dyDescent="0.4">
      <c r="B129" s="1"/>
      <c r="C129" s="10">
        <f t="shared" si="28"/>
        <v>159.95442409751158</v>
      </c>
      <c r="D129" s="39">
        <f t="shared" si="21"/>
        <v>24644.327702798375</v>
      </c>
      <c r="E129" s="11">
        <f t="shared" si="12"/>
        <v>159.95442409751158</v>
      </c>
      <c r="F129" s="11"/>
      <c r="G129" s="10"/>
      <c r="H129" s="11"/>
      <c r="I129" s="11"/>
      <c r="J129" s="11"/>
      <c r="K129" s="10"/>
      <c r="L129" s="11"/>
      <c r="M129" s="11"/>
      <c r="N129" s="12"/>
    </row>
    <row r="130" spans="1:14" x14ac:dyDescent="0.4">
      <c r="B130" s="1"/>
      <c r="C130" s="10">
        <f t="shared" si="28"/>
        <v>159.95442409751158</v>
      </c>
      <c r="D130" s="39">
        <f t="shared" si="21"/>
        <v>24564.072678309618</v>
      </c>
      <c r="E130" s="11">
        <f t="shared" si="12"/>
        <v>159.95442409751158</v>
      </c>
      <c r="F130" s="11"/>
      <c r="G130" s="10"/>
      <c r="H130" s="11"/>
      <c r="I130" s="11"/>
      <c r="J130" s="11"/>
      <c r="K130" s="10"/>
      <c r="L130" s="11"/>
      <c r="M130" s="11"/>
      <c r="N130" s="12"/>
    </row>
    <row r="131" spans="1:14" x14ac:dyDescent="0.4">
      <c r="B131" s="1"/>
      <c r="C131" s="10">
        <f t="shared" si="28"/>
        <v>159.95442409751158</v>
      </c>
      <c r="D131" s="39">
        <f t="shared" si="21"/>
        <v>24483.556414654373</v>
      </c>
      <c r="E131" s="11">
        <f t="shared" si="12"/>
        <v>159.95442409751158</v>
      </c>
      <c r="F131" s="11"/>
      <c r="G131" s="10"/>
      <c r="H131" s="11"/>
      <c r="I131" s="11"/>
      <c r="J131" s="11"/>
      <c r="K131" s="10"/>
      <c r="L131" s="11"/>
      <c r="M131" s="11"/>
      <c r="N131" s="12"/>
    </row>
    <row r="132" spans="1:14" x14ac:dyDescent="0.4">
      <c r="B132" s="1"/>
      <c r="C132" s="10">
        <f t="shared" si="28"/>
        <v>159.95442409751158</v>
      </c>
      <c r="D132" s="39">
        <f t="shared" si="21"/>
        <v>24402.778061469653</v>
      </c>
      <c r="E132" s="11">
        <f t="shared" si="12"/>
        <v>159.95442409751158</v>
      </c>
      <c r="F132" s="11"/>
      <c r="G132" s="10"/>
      <c r="H132" s="11"/>
      <c r="I132" s="11"/>
      <c r="J132" s="11"/>
      <c r="K132" s="10"/>
      <c r="L132" s="11"/>
      <c r="M132" s="11"/>
      <c r="N132" s="12"/>
    </row>
    <row r="133" spans="1:14" x14ac:dyDescent="0.4">
      <c r="B133" s="1"/>
      <c r="C133" s="10">
        <f t="shared" si="28"/>
        <v>159.95442409751158</v>
      </c>
      <c r="D133" s="39">
        <f t="shared" ref="D133:D196" si="29">(D132-C132)*(1+$S$5/$S$7)^($S$7/12)</f>
        <v>24321.73676562445</v>
      </c>
      <c r="E133" s="11">
        <f t="shared" si="12"/>
        <v>159.95442409751158</v>
      </c>
      <c r="F133" s="11"/>
      <c r="G133" s="10"/>
      <c r="H133" s="11"/>
      <c r="I133" s="11"/>
      <c r="J133" s="11"/>
      <c r="K133" s="10"/>
      <c r="L133" s="11"/>
      <c r="M133" s="11"/>
      <c r="N133" s="12"/>
    </row>
    <row r="134" spans="1:14" x14ac:dyDescent="0.4">
      <c r="B134" s="1"/>
      <c r="C134" s="10">
        <f t="shared" si="28"/>
        <v>159.95442409751158</v>
      </c>
      <c r="D134" s="39">
        <f t="shared" si="29"/>
        <v>24240.431671210714</v>
      </c>
      <c r="E134" s="11">
        <f t="shared" si="12"/>
        <v>159.95442409751158</v>
      </c>
      <c r="F134" s="11"/>
      <c r="G134" s="10"/>
      <c r="H134" s="11"/>
      <c r="I134" s="11"/>
      <c r="J134" s="11"/>
      <c r="K134" s="10"/>
      <c r="L134" s="11"/>
      <c r="M134" s="11"/>
      <c r="N134" s="12"/>
    </row>
    <row r="135" spans="1:14" x14ac:dyDescent="0.4">
      <c r="A135">
        <f>A123+1</f>
        <v>12</v>
      </c>
      <c r="B135" s="1">
        <f>B123*(1+$P$3)</f>
        <v>44468.823311024164</v>
      </c>
      <c r="C135" s="10">
        <f>MAX(0,MIN((0.1*($B135-1.5*$P$12*(1+$P$18)^(A135-1))/12),$S$11))</f>
        <v>172.77646392832719</v>
      </c>
      <c r="D135" s="39">
        <f t="shared" si="29"/>
        <v>24158.861919534316</v>
      </c>
      <c r="E135" s="11">
        <f t="shared" si="12"/>
        <v>172.77646392832719</v>
      </c>
      <c r="F135" s="11">
        <f>E135/(1+$P$15)^A135</f>
        <v>121.18193557021569</v>
      </c>
      <c r="G135" s="10">
        <f>MAX(0,0.1*($B135-1.5*$P$12*(1+$P$18)^(A135-1)))</f>
        <v>2073.3175671399263</v>
      </c>
      <c r="H135" s="11">
        <f>H123*(1+$S$5)-G135</f>
        <v>-14376.128766357366</v>
      </c>
      <c r="I135" s="11">
        <f t="shared" si="13"/>
        <v>0</v>
      </c>
      <c r="J135" s="11">
        <f>I135/(1+$P$15)^A135</f>
        <v>0</v>
      </c>
      <c r="K135" s="10">
        <f>MAX(25*12,0.15*($B135-1.5*$P$12*(1+$P$18)^(A135-1)))</f>
        <v>3109.9763507098892</v>
      </c>
      <c r="L135" s="11">
        <f>L123*(1+$S$5)-K135</f>
        <v>-21564.193149536051</v>
      </c>
      <c r="M135" s="11">
        <f>IF(AND(SUM($K$3:K135)&gt;=$S$12,SUM($M$3:M123)&lt;$S$12),$S$12-SUM($M$3:M123),IF(AND(SUM($K$3:K123)&gt;=$S$12,SUM($M$3:M123)=$S$12),0,K135))</f>
        <v>3109.9763507098892</v>
      </c>
      <c r="N135" s="12">
        <f>M135/(1+$P$15)^A135</f>
        <v>2181.2748402638822</v>
      </c>
    </row>
    <row r="136" spans="1:14" x14ac:dyDescent="0.4">
      <c r="B136" s="1"/>
      <c r="C136" s="10">
        <f>C135</f>
        <v>172.77646392832719</v>
      </c>
      <c r="D136" s="39">
        <f t="shared" si="29"/>
        <v>24064.162872087752</v>
      </c>
      <c r="E136" s="11">
        <f t="shared" ref="E136:E146" si="30">MAX(IF(D136&gt;0,C136,C136+D136),0)</f>
        <v>172.77646392832719</v>
      </c>
      <c r="F136" s="11"/>
      <c r="G136" s="10"/>
      <c r="H136" s="11"/>
      <c r="I136" s="11"/>
      <c r="J136" s="11"/>
      <c r="K136" s="10"/>
      <c r="L136" s="11"/>
      <c r="M136" s="11"/>
      <c r="N136" s="12"/>
    </row>
    <row r="137" spans="1:14" x14ac:dyDescent="0.4">
      <c r="B137" s="1"/>
      <c r="C137" s="10">
        <f t="shared" ref="C137:C146" si="31">C136</f>
        <v>172.77646392832719</v>
      </c>
      <c r="D137" s="39">
        <f t="shared" si="29"/>
        <v>23969.155568549064</v>
      </c>
      <c r="E137" s="11">
        <f t="shared" si="30"/>
        <v>172.77646392832719</v>
      </c>
      <c r="F137" s="11"/>
      <c r="G137" s="10"/>
      <c r="H137" s="11"/>
      <c r="I137" s="11"/>
      <c r="J137" s="11"/>
      <c r="K137" s="10"/>
      <c r="L137" s="11"/>
      <c r="M137" s="11"/>
      <c r="N137" s="12"/>
    </row>
    <row r="138" spans="1:14" x14ac:dyDescent="0.4">
      <c r="B138" s="1"/>
      <c r="C138" s="10">
        <f t="shared" si="31"/>
        <v>172.77646392832719</v>
      </c>
      <c r="D138" s="39">
        <f t="shared" si="29"/>
        <v>23873.839005509868</v>
      </c>
      <c r="E138" s="11">
        <f t="shared" si="30"/>
        <v>172.77646392832719</v>
      </c>
      <c r="F138" s="11"/>
      <c r="G138" s="10"/>
      <c r="H138" s="11"/>
      <c r="I138" s="11"/>
      <c r="J138" s="11"/>
      <c r="K138" s="10"/>
      <c r="L138" s="11"/>
      <c r="M138" s="11"/>
      <c r="N138" s="12"/>
    </row>
    <row r="139" spans="1:14" x14ac:dyDescent="0.4">
      <c r="B139" s="1"/>
      <c r="C139" s="10">
        <f t="shared" si="31"/>
        <v>172.77646392832719</v>
      </c>
      <c r="D139" s="39">
        <f t="shared" si="29"/>
        <v>23778.212176295568</v>
      </c>
      <c r="E139" s="11">
        <f t="shared" si="30"/>
        <v>172.77646392832719</v>
      </c>
      <c r="F139" s="11"/>
      <c r="G139" s="10"/>
      <c r="H139" s="11"/>
      <c r="I139" s="11"/>
      <c r="J139" s="11"/>
      <c r="K139" s="10"/>
      <c r="L139" s="11"/>
      <c r="M139" s="11"/>
      <c r="N139" s="12"/>
    </row>
    <row r="140" spans="1:14" x14ac:dyDescent="0.4">
      <c r="B140" s="1"/>
      <c r="C140" s="10">
        <f t="shared" si="31"/>
        <v>172.77646392832719</v>
      </c>
      <c r="D140" s="39">
        <f t="shared" si="29"/>
        <v>23682.274070954732</v>
      </c>
      <c r="E140" s="11">
        <f t="shared" si="30"/>
        <v>172.77646392832719</v>
      </c>
      <c r="F140" s="11"/>
      <c r="G140" s="10"/>
      <c r="H140" s="11"/>
      <c r="I140" s="11"/>
      <c r="J140" s="11"/>
      <c r="K140" s="10"/>
      <c r="L140" s="11"/>
      <c r="M140" s="11"/>
      <c r="N140" s="12"/>
    </row>
    <row r="141" spans="1:14" x14ac:dyDescent="0.4">
      <c r="B141" s="1"/>
      <c r="C141" s="10">
        <f t="shared" si="31"/>
        <v>172.77646392832719</v>
      </c>
      <c r="D141" s="39">
        <f t="shared" si="29"/>
        <v>23586.02367624842</v>
      </c>
      <c r="E141" s="11">
        <f t="shared" si="30"/>
        <v>172.77646392832719</v>
      </c>
      <c r="F141" s="11"/>
      <c r="G141" s="10"/>
      <c r="H141" s="11"/>
      <c r="I141" s="11"/>
      <c r="J141" s="11"/>
      <c r="K141" s="10"/>
      <c r="L141" s="11"/>
      <c r="M141" s="11"/>
      <c r="N141" s="12"/>
    </row>
    <row r="142" spans="1:14" x14ac:dyDescent="0.4">
      <c r="B142" s="1"/>
      <c r="C142" s="10">
        <f t="shared" si="31"/>
        <v>172.77646392832719</v>
      </c>
      <c r="D142" s="39">
        <f t="shared" si="29"/>
        <v>23489.459975639485</v>
      </c>
      <c r="E142" s="11">
        <f t="shared" si="30"/>
        <v>172.77646392832719</v>
      </c>
      <c r="F142" s="11"/>
      <c r="G142" s="10"/>
      <c r="H142" s="11"/>
      <c r="I142" s="11"/>
      <c r="J142" s="11"/>
      <c r="K142" s="10"/>
      <c r="L142" s="11"/>
      <c r="M142" s="11"/>
      <c r="N142" s="12"/>
    </row>
    <row r="143" spans="1:14" x14ac:dyDescent="0.4">
      <c r="B143" s="1"/>
      <c r="C143" s="10">
        <f t="shared" si="31"/>
        <v>172.77646392832719</v>
      </c>
      <c r="D143" s="39">
        <f t="shared" si="29"/>
        <v>23392.581949281841</v>
      </c>
      <c r="E143" s="11">
        <f t="shared" si="30"/>
        <v>172.77646392832719</v>
      </c>
      <c r="F143" s="11"/>
      <c r="G143" s="10"/>
      <c r="H143" s="11"/>
      <c r="I143" s="11"/>
      <c r="J143" s="11"/>
      <c r="K143" s="10"/>
      <c r="L143" s="11"/>
      <c r="M143" s="11"/>
      <c r="N143" s="12"/>
    </row>
    <row r="144" spans="1:14" x14ac:dyDescent="0.4">
      <c r="B144" s="1"/>
      <c r="C144" s="10">
        <f t="shared" si="31"/>
        <v>172.77646392832719</v>
      </c>
      <c r="D144" s="39">
        <f t="shared" si="29"/>
        <v>23295.388574009681</v>
      </c>
      <c r="E144" s="11">
        <f t="shared" si="30"/>
        <v>172.77646392832719</v>
      </c>
      <c r="F144" s="11"/>
      <c r="G144" s="10"/>
      <c r="H144" s="11"/>
      <c r="I144" s="11"/>
      <c r="J144" s="11"/>
      <c r="K144" s="10"/>
      <c r="L144" s="11"/>
      <c r="M144" s="11"/>
      <c r="N144" s="12"/>
    </row>
    <row r="145" spans="1:14" x14ac:dyDescent="0.4">
      <c r="B145" s="1"/>
      <c r="C145" s="10">
        <f t="shared" si="31"/>
        <v>172.77646392832719</v>
      </c>
      <c r="D145" s="39">
        <f t="shared" si="29"/>
        <v>23197.878823326686</v>
      </c>
      <c r="E145" s="11">
        <f t="shared" si="30"/>
        <v>172.77646392832719</v>
      </c>
      <c r="F145" s="11"/>
      <c r="G145" s="10"/>
      <c r="H145" s="11"/>
      <c r="I145" s="11"/>
      <c r="J145" s="11"/>
      <c r="K145" s="10"/>
      <c r="L145" s="11"/>
      <c r="M145" s="11"/>
      <c r="N145" s="12"/>
    </row>
    <row r="146" spans="1:14" x14ac:dyDescent="0.4">
      <c r="B146" s="1"/>
      <c r="C146" s="10">
        <f t="shared" si="31"/>
        <v>172.77646392832719</v>
      </c>
      <c r="D146" s="39">
        <f t="shared" si="29"/>
        <v>23100.051667395168</v>
      </c>
      <c r="E146" s="11">
        <f t="shared" si="30"/>
        <v>172.77646392832719</v>
      </c>
      <c r="F146" s="11"/>
      <c r="G146" s="10"/>
      <c r="H146" s="11"/>
      <c r="I146" s="11"/>
      <c r="J146" s="11"/>
      <c r="K146" s="10"/>
      <c r="L146" s="11"/>
      <c r="M146" s="11"/>
      <c r="N146" s="12"/>
    </row>
    <row r="147" spans="1:14" x14ac:dyDescent="0.4">
      <c r="A147">
        <f>A135+1</f>
        <v>13</v>
      </c>
      <c r="B147" s="1">
        <f>B135*(1+$P$3)</f>
        <v>46692.264476575372</v>
      </c>
      <c r="C147" s="10">
        <f>MAX(0,MIN((0.1*($B147-1.5*$P$12*(1+$P$18)^(A147-1))/12),$S$11))</f>
        <v>186.36021371633208</v>
      </c>
      <c r="D147" s="39">
        <f t="shared" si="29"/>
        <v>23001.906073025206</v>
      </c>
      <c r="E147" s="11">
        <f t="shared" si="12"/>
        <v>186.36021371633208</v>
      </c>
      <c r="F147" s="11">
        <f>E147/(1+$P$15)^A147</f>
        <v>126.90223725155134</v>
      </c>
      <c r="G147" s="10">
        <f>MAX(0,0.1*($B147-1.5*$P$12*(1+$P$18)^(A147-1)))</f>
        <v>2236.3225645959851</v>
      </c>
      <c r="H147" s="11">
        <f>H135*(1+$S$5)-G147</f>
        <v>-17173.120352841288</v>
      </c>
      <c r="I147" s="11">
        <f t="shared" si="13"/>
        <v>0</v>
      </c>
      <c r="J147" s="11">
        <f>I147/(1+$P$15)^A147</f>
        <v>0</v>
      </c>
      <c r="K147" s="10">
        <f>MAX(25*12,0.15*($B147-1.5*$P$12*(1+$P$18)^(A147-1)))</f>
        <v>3354.4838468939774</v>
      </c>
      <c r="L147" s="11">
        <f>L135*(1+$S$5)-K147</f>
        <v>-25759.680529261932</v>
      </c>
      <c r="M147" s="11">
        <f>IF(AND(SUM($K$3:K147)&gt;=$S$12,SUM($M$3:M135)&lt;$S$12),$S$12-SUM($M$3:M135),IF(AND(SUM($K$3:K135)&gt;=$S$12,SUM($M$3:M135)=$S$12),0,K147))</f>
        <v>3354.4838468939774</v>
      </c>
      <c r="N147" s="12">
        <f>M147/(1+$P$15)^A147</f>
        <v>2284.2402705279242</v>
      </c>
    </row>
    <row r="148" spans="1:14" x14ac:dyDescent="0.4">
      <c r="B148" s="1"/>
      <c r="C148" s="10">
        <f>C147</f>
        <v>186.36021371633208</v>
      </c>
      <c r="D148" s="39">
        <f t="shared" si="29"/>
        <v>22889.813037236388</v>
      </c>
      <c r="E148" s="11">
        <f t="shared" si="12"/>
        <v>186.36021371633208</v>
      </c>
      <c r="F148" s="11"/>
      <c r="G148" s="10"/>
      <c r="H148" s="11"/>
      <c r="I148" s="11"/>
      <c r="J148" s="11"/>
      <c r="K148" s="10"/>
      <c r="L148" s="11"/>
      <c r="M148" s="11"/>
      <c r="N148" s="12"/>
    </row>
    <row r="149" spans="1:14" x14ac:dyDescent="0.4">
      <c r="B149" s="1"/>
      <c r="C149" s="10">
        <f t="shared" ref="C149:C158" si="32">C148</f>
        <v>186.36021371633208</v>
      </c>
      <c r="D149" s="39">
        <f t="shared" si="29"/>
        <v>22777.355125959395</v>
      </c>
      <c r="E149" s="11">
        <f t="shared" si="12"/>
        <v>186.36021371633208</v>
      </c>
      <c r="F149" s="11"/>
      <c r="G149" s="10"/>
      <c r="H149" s="11"/>
      <c r="I149" s="11"/>
      <c r="J149" s="11"/>
      <c r="K149" s="10"/>
      <c r="L149" s="11"/>
      <c r="M149" s="11"/>
      <c r="N149" s="12"/>
    </row>
    <row r="150" spans="1:14" x14ac:dyDescent="0.4">
      <c r="B150" s="1"/>
      <c r="C150" s="10">
        <f t="shared" si="32"/>
        <v>186.36021371633208</v>
      </c>
      <c r="D150" s="39">
        <f t="shared" si="29"/>
        <v>22664.531151483316</v>
      </c>
      <c r="E150" s="11">
        <f t="shared" si="12"/>
        <v>186.36021371633208</v>
      </c>
      <c r="F150" s="11"/>
      <c r="G150" s="10"/>
      <c r="H150" s="11"/>
      <c r="I150" s="11"/>
      <c r="J150" s="11"/>
      <c r="K150" s="10"/>
      <c r="L150" s="11"/>
      <c r="M150" s="11"/>
      <c r="N150" s="12"/>
    </row>
    <row r="151" spans="1:14" x14ac:dyDescent="0.4">
      <c r="B151" s="1"/>
      <c r="C151" s="10">
        <f t="shared" si="32"/>
        <v>186.36021371633208</v>
      </c>
      <c r="D151" s="39">
        <f t="shared" si="29"/>
        <v>22551.339922231105</v>
      </c>
      <c r="E151" s="11">
        <f t="shared" si="12"/>
        <v>186.36021371633208</v>
      </c>
      <c r="F151" s="11"/>
      <c r="G151" s="10"/>
      <c r="H151" s="11"/>
      <c r="I151" s="11"/>
      <c r="J151" s="11"/>
      <c r="K151" s="10"/>
      <c r="L151" s="11"/>
      <c r="M151" s="11"/>
      <c r="N151" s="12"/>
    </row>
    <row r="152" spans="1:14" x14ac:dyDescent="0.4">
      <c r="B152" s="1"/>
      <c r="C152" s="10">
        <f t="shared" si="32"/>
        <v>186.36021371633208</v>
      </c>
      <c r="D152" s="39">
        <f t="shared" si="29"/>
        <v>22437.780242746998</v>
      </c>
      <c r="E152" s="11">
        <f t="shared" si="12"/>
        <v>186.36021371633208</v>
      </c>
      <c r="F152" s="11"/>
      <c r="G152" s="10"/>
      <c r="H152" s="11"/>
      <c r="I152" s="11"/>
      <c r="J152" s="11"/>
      <c r="K152" s="10"/>
      <c r="L152" s="11"/>
      <c r="M152" s="11"/>
      <c r="N152" s="12"/>
    </row>
    <row r="153" spans="1:14" x14ac:dyDescent="0.4">
      <c r="B153" s="1"/>
      <c r="C153" s="10">
        <f t="shared" si="32"/>
        <v>186.36021371633208</v>
      </c>
      <c r="D153" s="39">
        <f t="shared" si="29"/>
        <v>22323.850913683887</v>
      </c>
      <c r="E153" s="11">
        <f t="shared" si="12"/>
        <v>186.36021371633208</v>
      </c>
      <c r="F153" s="11"/>
      <c r="G153" s="10"/>
      <c r="H153" s="11"/>
      <c r="I153" s="11"/>
      <c r="J153" s="11"/>
      <c r="K153" s="10"/>
      <c r="L153" s="11"/>
      <c r="M153" s="11"/>
      <c r="N153" s="12"/>
    </row>
    <row r="154" spans="1:14" x14ac:dyDescent="0.4">
      <c r="B154" s="1"/>
      <c r="C154" s="10">
        <f t="shared" si="32"/>
        <v>186.36021371633208</v>
      </c>
      <c r="D154" s="39">
        <f t="shared" si="29"/>
        <v>22209.550731790656</v>
      </c>
      <c r="E154" s="11">
        <f t="shared" si="12"/>
        <v>186.36021371633208</v>
      </c>
      <c r="F154" s="11"/>
      <c r="G154" s="10"/>
      <c r="H154" s="11"/>
      <c r="I154" s="11"/>
      <c r="J154" s="11"/>
      <c r="K154" s="10"/>
      <c r="L154" s="11"/>
      <c r="M154" s="11"/>
      <c r="N154" s="12"/>
    </row>
    <row r="155" spans="1:14" x14ac:dyDescent="0.4">
      <c r="B155" s="1"/>
      <c r="C155" s="10">
        <f t="shared" si="32"/>
        <v>186.36021371633208</v>
      </c>
      <c r="D155" s="39">
        <f t="shared" si="29"/>
        <v>22094.878489899467</v>
      </c>
      <c r="E155" s="11">
        <f t="shared" si="12"/>
        <v>186.36021371633208</v>
      </c>
      <c r="F155" s="11"/>
      <c r="G155" s="10"/>
      <c r="H155" s="11"/>
      <c r="I155" s="11"/>
      <c r="J155" s="11"/>
      <c r="K155" s="10"/>
      <c r="L155" s="11"/>
      <c r="M155" s="11"/>
      <c r="N155" s="12"/>
    </row>
    <row r="156" spans="1:14" x14ac:dyDescent="0.4">
      <c r="B156" s="1"/>
      <c r="C156" s="10">
        <f t="shared" si="32"/>
        <v>186.36021371633208</v>
      </c>
      <c r="D156" s="39">
        <f t="shared" si="29"/>
        <v>21979.832976913018</v>
      </c>
      <c r="E156" s="11">
        <f t="shared" si="12"/>
        <v>186.36021371633208</v>
      </c>
      <c r="F156" s="11"/>
      <c r="G156" s="10"/>
      <c r="H156" s="11"/>
      <c r="I156" s="11"/>
      <c r="J156" s="11"/>
      <c r="K156" s="10"/>
      <c r="L156" s="11"/>
      <c r="M156" s="11"/>
      <c r="N156" s="12"/>
    </row>
    <row r="157" spans="1:14" x14ac:dyDescent="0.4">
      <c r="B157" s="1"/>
      <c r="C157" s="10">
        <f t="shared" si="32"/>
        <v>186.36021371633208</v>
      </c>
      <c r="D157" s="39">
        <f t="shared" si="29"/>
        <v>21864.412977791744</v>
      </c>
      <c r="E157" s="11">
        <f t="shared" si="12"/>
        <v>186.36021371633208</v>
      </c>
      <c r="F157" s="11"/>
      <c r="G157" s="10"/>
      <c r="H157" s="11"/>
      <c r="I157" s="11"/>
      <c r="J157" s="11"/>
      <c r="K157" s="10"/>
      <c r="L157" s="11"/>
      <c r="M157" s="11"/>
      <c r="N157" s="12"/>
    </row>
    <row r="158" spans="1:14" x14ac:dyDescent="0.4">
      <c r="B158" s="1"/>
      <c r="C158" s="10">
        <f t="shared" si="32"/>
        <v>186.36021371633208</v>
      </c>
      <c r="D158" s="39">
        <f t="shared" si="29"/>
        <v>21748.617273540993</v>
      </c>
      <c r="E158" s="11">
        <f t="shared" si="12"/>
        <v>186.36021371633208</v>
      </c>
      <c r="F158" s="11"/>
      <c r="G158" s="10"/>
      <c r="H158" s="11"/>
      <c r="I158" s="11"/>
      <c r="J158" s="11"/>
      <c r="K158" s="10"/>
      <c r="L158" s="11"/>
      <c r="M158" s="11"/>
      <c r="N158" s="12"/>
    </row>
    <row r="159" spans="1:14" x14ac:dyDescent="0.4">
      <c r="A159">
        <f>A147+1</f>
        <v>14</v>
      </c>
      <c r="B159" s="1">
        <f>B147*(1+$P$3)</f>
        <v>49026.87770040414</v>
      </c>
      <c r="C159" s="10">
        <f>MAX(0,MIN((0.1*($B159-1.5*$P$12*(1+$P$18)^(A159-1))/12),$S$11))</f>
        <v>200.74677415852693</v>
      </c>
      <c r="D159" s="39">
        <f t="shared" si="29"/>
        <v>21632.444641198148</v>
      </c>
      <c r="E159" s="11">
        <f>MAX(IF(D159&gt;0,C159,C159+D159),0)</f>
        <v>200.74677415852693</v>
      </c>
      <c r="F159" s="11">
        <f>E159/(1+$P$15)^A159</f>
        <v>132.71726685685121</v>
      </c>
      <c r="G159" s="10">
        <f>MAX(0,0.1*($B159-1.5*$P$12*(1+$P$18)^(A159-1)))</f>
        <v>2408.9612899023232</v>
      </c>
      <c r="H159" s="11">
        <f>H147*(1+$S$5)-G159</f>
        <v>-20251.83333650442</v>
      </c>
      <c r="I159" s="11">
        <f>MAX(IF(H159&gt;0,G159,G159+H159),0)</f>
        <v>0</v>
      </c>
      <c r="J159" s="11">
        <f>I159/(1+$P$15)^A159</f>
        <v>0</v>
      </c>
      <c r="K159" s="10">
        <f>MAX(25*12,0.15*($B159-1.5*$P$12*(1+$P$18)^(A159-1)))</f>
        <v>3613.4419348534848</v>
      </c>
      <c r="L159" s="11">
        <f>L147*(1+$S$5)-K159</f>
        <v>-30377.750004756628</v>
      </c>
      <c r="M159" s="11">
        <f>IF(AND(SUM($K$3:K159)&gt;=$S$12,SUM($M$3:M147)&lt;$S$12),$S$12-SUM($M$3:M147),IF(AND(SUM($K$3:K147)&gt;=$S$12,SUM($M$3:M147)=$S$12),0,K159))</f>
        <v>3613.4419348534848</v>
      </c>
      <c r="N159" s="12">
        <f>M159/(1+$P$15)^A159</f>
        <v>2388.9108034233218</v>
      </c>
    </row>
    <row r="160" spans="1:14" x14ac:dyDescent="0.4">
      <c r="B160" s="1"/>
      <c r="C160" s="10">
        <f>C159</f>
        <v>200.74677415852693</v>
      </c>
      <c r="D160" s="39">
        <f t="shared" si="29"/>
        <v>21501.460463498857</v>
      </c>
      <c r="E160" s="11">
        <f t="shared" ref="E160:E170" si="33">MAX(IF(D160&gt;0,C160,C160+D160),0)</f>
        <v>200.74677415852693</v>
      </c>
      <c r="F160" s="11"/>
      <c r="G160" s="10"/>
      <c r="H160" s="11"/>
      <c r="I160" s="11"/>
      <c r="J160" s="11"/>
      <c r="K160" s="10"/>
      <c r="L160" s="11"/>
      <c r="M160" s="11"/>
      <c r="N160" s="12"/>
    </row>
    <row r="161" spans="1:14" x14ac:dyDescent="0.4">
      <c r="B161" s="1"/>
      <c r="C161" s="10">
        <f t="shared" ref="C161:C170" si="34">C160</f>
        <v>200.74677415852693</v>
      </c>
      <c r="D161" s="39">
        <f t="shared" si="29"/>
        <v>21370.049917511431</v>
      </c>
      <c r="E161" s="11">
        <f t="shared" si="33"/>
        <v>200.74677415852693</v>
      </c>
      <c r="F161" s="11"/>
      <c r="G161" s="10"/>
      <c r="H161" s="11"/>
      <c r="I161" s="11"/>
      <c r="J161" s="11"/>
      <c r="K161" s="10"/>
      <c r="L161" s="11"/>
      <c r="M161" s="11"/>
      <c r="N161" s="12"/>
    </row>
    <row r="162" spans="1:14" x14ac:dyDescent="0.4">
      <c r="B162" s="1"/>
      <c r="C162" s="10">
        <f t="shared" si="34"/>
        <v>200.74677415852693</v>
      </c>
      <c r="D162" s="39">
        <f t="shared" si="29"/>
        <v>21238.211615358952</v>
      </c>
      <c r="E162" s="11">
        <f t="shared" si="33"/>
        <v>200.74677415852693</v>
      </c>
      <c r="F162" s="11"/>
      <c r="G162" s="10"/>
      <c r="H162" s="11"/>
      <c r="I162" s="11"/>
      <c r="J162" s="11"/>
      <c r="K162" s="10"/>
      <c r="L162" s="11"/>
      <c r="M162" s="11"/>
      <c r="N162" s="12"/>
    </row>
    <row r="163" spans="1:14" x14ac:dyDescent="0.4">
      <c r="B163" s="1"/>
      <c r="C163" s="10">
        <f t="shared" si="34"/>
        <v>200.74677415852693</v>
      </c>
      <c r="D163" s="39">
        <f t="shared" si="29"/>
        <v>21105.9441646468</v>
      </c>
      <c r="E163" s="11">
        <f t="shared" si="33"/>
        <v>200.74677415852693</v>
      </c>
      <c r="F163" s="11"/>
      <c r="G163" s="10"/>
      <c r="H163" s="11"/>
      <c r="I163" s="11"/>
      <c r="J163" s="11"/>
      <c r="K163" s="10"/>
      <c r="L163" s="11"/>
      <c r="M163" s="11"/>
      <c r="N163" s="12"/>
    </row>
    <row r="164" spans="1:14" x14ac:dyDescent="0.4">
      <c r="B164" s="1"/>
      <c r="C164" s="10">
        <f t="shared" si="34"/>
        <v>200.74677415852693</v>
      </c>
      <c r="D164" s="39">
        <f t="shared" si="29"/>
        <v>20973.24616844796</v>
      </c>
      <c r="E164" s="11">
        <f t="shared" si="33"/>
        <v>200.74677415852693</v>
      </c>
      <c r="F164" s="11"/>
      <c r="G164" s="10"/>
      <c r="H164" s="11"/>
      <c r="I164" s="11"/>
      <c r="J164" s="11"/>
      <c r="K164" s="10"/>
      <c r="L164" s="11"/>
      <c r="M164" s="11"/>
      <c r="N164" s="12"/>
    </row>
    <row r="165" spans="1:14" x14ac:dyDescent="0.4">
      <c r="B165" s="1"/>
      <c r="C165" s="10">
        <f t="shared" si="34"/>
        <v>200.74677415852693</v>
      </c>
      <c r="D165" s="39">
        <f t="shared" si="29"/>
        <v>20840.11622528826</v>
      </c>
      <c r="E165" s="11">
        <f t="shared" si="33"/>
        <v>200.74677415852693</v>
      </c>
      <c r="F165" s="11"/>
      <c r="G165" s="10"/>
      <c r="H165" s="11"/>
      <c r="I165" s="11"/>
      <c r="J165" s="11"/>
      <c r="K165" s="10"/>
      <c r="L165" s="11"/>
      <c r="M165" s="11"/>
      <c r="N165" s="12"/>
    </row>
    <row r="166" spans="1:14" x14ac:dyDescent="0.4">
      <c r="B166" s="1"/>
      <c r="C166" s="10">
        <f t="shared" si="34"/>
        <v>200.74677415852693</v>
      </c>
      <c r="D166" s="39">
        <f t="shared" si="29"/>
        <v>20706.552929131569</v>
      </c>
      <c r="E166" s="11">
        <f t="shared" si="33"/>
        <v>200.74677415852693</v>
      </c>
      <c r="F166" s="11"/>
      <c r="G166" s="10"/>
      <c r="H166" s="11"/>
      <c r="I166" s="11"/>
      <c r="J166" s="11"/>
      <c r="K166" s="10"/>
      <c r="L166" s="11"/>
      <c r="M166" s="11"/>
      <c r="N166" s="12"/>
    </row>
    <row r="167" spans="1:14" x14ac:dyDescent="0.4">
      <c r="B167" s="1"/>
      <c r="C167" s="10">
        <f t="shared" si="34"/>
        <v>200.74677415852693</v>
      </c>
      <c r="D167" s="39">
        <f t="shared" si="29"/>
        <v>20572.554869364951</v>
      </c>
      <c r="E167" s="11">
        <f t="shared" si="33"/>
        <v>200.74677415852693</v>
      </c>
      <c r="F167" s="11"/>
      <c r="G167" s="10"/>
      <c r="H167" s="11"/>
      <c r="I167" s="11"/>
      <c r="J167" s="11"/>
      <c r="K167" s="10"/>
      <c r="L167" s="11"/>
      <c r="M167" s="11"/>
      <c r="N167" s="12"/>
    </row>
    <row r="168" spans="1:14" x14ac:dyDescent="0.4">
      <c r="B168" s="1"/>
      <c r="C168" s="10">
        <f t="shared" si="34"/>
        <v>200.74677415852693</v>
      </c>
      <c r="D168" s="39">
        <f t="shared" si="29"/>
        <v>20438.120630783764</v>
      </c>
      <c r="E168" s="11">
        <f t="shared" si="33"/>
        <v>200.74677415852693</v>
      </c>
      <c r="F168" s="11"/>
      <c r="G168" s="10"/>
      <c r="H168" s="11"/>
      <c r="I168" s="11"/>
      <c r="J168" s="11"/>
      <c r="K168" s="10"/>
      <c r="L168" s="11"/>
      <c r="M168" s="11"/>
      <c r="N168" s="12"/>
    </row>
    <row r="169" spans="1:14" x14ac:dyDescent="0.4">
      <c r="B169" s="1"/>
      <c r="C169" s="10">
        <f t="shared" si="34"/>
        <v>200.74677415852693</v>
      </c>
      <c r="D169" s="39">
        <f t="shared" si="29"/>
        <v>20303.248793576717</v>
      </c>
      <c r="E169" s="11">
        <f t="shared" si="33"/>
        <v>200.74677415852693</v>
      </c>
      <c r="F169" s="11"/>
      <c r="G169" s="10"/>
      <c r="H169" s="11"/>
      <c r="I169" s="11"/>
      <c r="J169" s="11"/>
      <c r="K169" s="10"/>
      <c r="L169" s="11"/>
      <c r="M169" s="11"/>
      <c r="N169" s="12"/>
    </row>
    <row r="170" spans="1:14" x14ac:dyDescent="0.4">
      <c r="B170" s="1"/>
      <c r="C170" s="10">
        <f t="shared" si="34"/>
        <v>200.74677415852693</v>
      </c>
      <c r="D170" s="39">
        <f t="shared" si="29"/>
        <v>20167.937933310874</v>
      </c>
      <c r="E170" s="11">
        <f t="shared" si="33"/>
        <v>200.74677415852693</v>
      </c>
      <c r="F170" s="11"/>
      <c r="G170" s="10"/>
      <c r="H170" s="11"/>
      <c r="I170" s="11"/>
      <c r="J170" s="11"/>
      <c r="K170" s="10"/>
      <c r="L170" s="11"/>
      <c r="M170" s="11"/>
      <c r="N170" s="12"/>
    </row>
    <row r="171" spans="1:14" x14ac:dyDescent="0.4">
      <c r="A171">
        <f>A159+1</f>
        <v>15</v>
      </c>
      <c r="B171" s="1">
        <f>B159*(1+$P$3)</f>
        <v>51478.221585424348</v>
      </c>
      <c r="C171" s="10">
        <f>MAX(0,MIN((0.1*($B171-1.5*$P$12*(1+$P$18)^(A171-1))/12),$S$11))</f>
        <v>215.97937636674101</v>
      </c>
      <c r="D171" s="39">
        <f t="shared" si="29"/>
        <v>20032.186620916607</v>
      </c>
      <c r="E171" s="11">
        <f t="shared" si="12"/>
        <v>215.97937636674101</v>
      </c>
      <c r="F171" s="11">
        <f>E171/(1+$P$15)^A171</f>
        <v>138.62894311228501</v>
      </c>
      <c r="G171" s="10">
        <f>MAX(0,0.1*($B171-1.5*$P$12*(1+$P$18)^(A171-1)))</f>
        <v>2591.7525164008921</v>
      </c>
      <c r="H171" s="11">
        <f>H159*(1+$S$5)-G171</f>
        <v>-23633.407353028982</v>
      </c>
      <c r="I171" s="11">
        <f t="shared" si="13"/>
        <v>0</v>
      </c>
      <c r="J171" s="11">
        <f>I171/(1+$P$15)^A171</f>
        <v>0</v>
      </c>
      <c r="K171" s="10">
        <f>MAX(25*12,0.15*($B171-1.5*$P$12*(1+$P$18)^(A171-1)))</f>
        <v>3887.6287746013377</v>
      </c>
      <c r="L171" s="11">
        <f>L159*(1+$S$5)-K171</f>
        <v>-35450.11102954347</v>
      </c>
      <c r="M171" s="11">
        <f>IF(AND(SUM($K$3:K171)&gt;=$S$12,SUM($M$3:M159)&lt;$S$12),$S$12-SUM($M$3:M159),IF(AND(SUM($K$3:K159)&gt;=$S$12,SUM($M$3:M159)=$S$12),0,K171))</f>
        <v>2575.8729959288103</v>
      </c>
      <c r="N171" s="12">
        <f>M171/(1+$P$15)^A171</f>
        <v>1653.3548574134836</v>
      </c>
    </row>
    <row r="172" spans="1:14" x14ac:dyDescent="0.4">
      <c r="B172" s="1"/>
      <c r="C172" s="10">
        <f>C171</f>
        <v>215.97937636674101</v>
      </c>
      <c r="D172" s="39">
        <f t="shared" si="29"/>
        <v>19880.71123662416</v>
      </c>
      <c r="E172" s="11">
        <f t="shared" si="12"/>
        <v>215.97937636674101</v>
      </c>
      <c r="F172" s="11"/>
      <c r="G172" s="10"/>
      <c r="H172" s="11"/>
      <c r="I172" s="11"/>
      <c r="J172" s="11"/>
      <c r="K172" s="10"/>
      <c r="L172" s="11"/>
      <c r="M172" s="11"/>
      <c r="N172" s="12"/>
    </row>
    <row r="173" spans="1:14" x14ac:dyDescent="0.4">
      <c r="B173" s="1"/>
      <c r="C173" s="10">
        <f t="shared" ref="C173:C182" si="35">C172</f>
        <v>215.97937636674101</v>
      </c>
      <c r="D173" s="39">
        <f t="shared" si="29"/>
        <v>19728.742782852405</v>
      </c>
      <c r="E173" s="11">
        <f t="shared" si="12"/>
        <v>215.97937636674101</v>
      </c>
      <c r="F173" s="11"/>
      <c r="G173" s="10"/>
      <c r="H173" s="11"/>
      <c r="I173" s="11"/>
      <c r="J173" s="11"/>
      <c r="K173" s="10"/>
      <c r="L173" s="11"/>
      <c r="M173" s="11"/>
      <c r="N173" s="12"/>
    </row>
    <row r="174" spans="1:14" x14ac:dyDescent="0.4">
      <c r="B174" s="1"/>
      <c r="C174" s="10">
        <f t="shared" si="35"/>
        <v>215.97937636674101</v>
      </c>
      <c r="D174" s="39">
        <f t="shared" si="29"/>
        <v>19576.279654604517</v>
      </c>
      <c r="E174" s="11">
        <f t="shared" si="12"/>
        <v>215.97937636674101</v>
      </c>
      <c r="F174" s="11"/>
      <c r="G174" s="10"/>
      <c r="H174" s="11"/>
      <c r="I174" s="11"/>
      <c r="J174" s="11"/>
      <c r="K174" s="10"/>
      <c r="L174" s="11"/>
      <c r="M174" s="11"/>
      <c r="N174" s="12"/>
    </row>
    <row r="175" spans="1:14" x14ac:dyDescent="0.4">
      <c r="B175" s="1"/>
      <c r="C175" s="10">
        <f t="shared" si="35"/>
        <v>215.97937636674101</v>
      </c>
      <c r="D175" s="39">
        <f t="shared" si="29"/>
        <v>19423.320241659225</v>
      </c>
      <c r="E175" s="11">
        <f t="shared" si="12"/>
        <v>215.97937636674101</v>
      </c>
      <c r="F175" s="11"/>
      <c r="G175" s="10"/>
      <c r="H175" s="11"/>
      <c r="I175" s="11"/>
      <c r="J175" s="11"/>
      <c r="K175" s="10"/>
      <c r="L175" s="11"/>
      <c r="M175" s="11"/>
      <c r="N175" s="12"/>
    </row>
    <row r="176" spans="1:14" x14ac:dyDescent="0.4">
      <c r="B176" s="1"/>
      <c r="C176" s="10">
        <f t="shared" si="35"/>
        <v>215.97937636674101</v>
      </c>
      <c r="D176" s="39">
        <f t="shared" si="29"/>
        <v>19269.862928553797</v>
      </c>
      <c r="E176" s="11">
        <f t="shared" si="12"/>
        <v>215.97937636674101</v>
      </c>
      <c r="F176" s="11"/>
      <c r="G176" s="10"/>
      <c r="H176" s="11"/>
      <c r="I176" s="11"/>
      <c r="J176" s="11"/>
      <c r="K176" s="10"/>
      <c r="L176" s="11"/>
      <c r="M176" s="11"/>
      <c r="N176" s="12"/>
    </row>
    <row r="177" spans="1:14" x14ac:dyDescent="0.4">
      <c r="B177" s="1"/>
      <c r="C177" s="10">
        <f t="shared" si="35"/>
        <v>215.97937636674101</v>
      </c>
      <c r="D177" s="39">
        <f t="shared" si="29"/>
        <v>19115.906094566995</v>
      </c>
      <c r="E177" s="11">
        <f t="shared" si="12"/>
        <v>215.97937636674101</v>
      </c>
      <c r="F177" s="11"/>
      <c r="G177" s="10"/>
      <c r="H177" s="11"/>
      <c r="I177" s="11"/>
      <c r="J177" s="11"/>
      <c r="K177" s="10"/>
      <c r="L177" s="11"/>
      <c r="M177" s="11"/>
      <c r="N177" s="12"/>
    </row>
    <row r="178" spans="1:14" x14ac:dyDescent="0.4">
      <c r="B178" s="1"/>
      <c r="C178" s="10">
        <f t="shared" si="35"/>
        <v>215.97937636674101</v>
      </c>
      <c r="D178" s="39">
        <f t="shared" si="29"/>
        <v>18961.448113701947</v>
      </c>
      <c r="E178" s="11">
        <f t="shared" si="12"/>
        <v>215.97937636674101</v>
      </c>
      <c r="F178" s="11"/>
      <c r="G178" s="10"/>
      <c r="H178" s="11"/>
      <c r="I178" s="11"/>
      <c r="J178" s="11"/>
      <c r="K178" s="10"/>
      <c r="L178" s="11"/>
      <c r="M178" s="11"/>
      <c r="N178" s="12"/>
    </row>
    <row r="179" spans="1:14" x14ac:dyDescent="0.4">
      <c r="B179" s="1"/>
      <c r="C179" s="10">
        <f t="shared" si="35"/>
        <v>215.97937636674101</v>
      </c>
      <c r="D179" s="39">
        <f t="shared" si="29"/>
        <v>18806.487354668981</v>
      </c>
      <c r="E179" s="11">
        <f t="shared" si="12"/>
        <v>215.97937636674101</v>
      </c>
      <c r="F179" s="11"/>
      <c r="G179" s="10"/>
      <c r="H179" s="11"/>
      <c r="I179" s="11"/>
      <c r="J179" s="11"/>
      <c r="K179" s="10"/>
      <c r="L179" s="11"/>
      <c r="M179" s="11"/>
      <c r="N179" s="12"/>
    </row>
    <row r="180" spans="1:14" x14ac:dyDescent="0.4">
      <c r="B180" s="1"/>
      <c r="C180" s="10">
        <f t="shared" si="35"/>
        <v>215.97937636674101</v>
      </c>
      <c r="D180" s="39">
        <f t="shared" si="29"/>
        <v>18651.022180868389</v>
      </c>
      <c r="E180" s="11">
        <f t="shared" si="12"/>
        <v>215.97937636674101</v>
      </c>
      <c r="F180" s="11"/>
      <c r="G180" s="10"/>
      <c r="H180" s="11"/>
      <c r="I180" s="11"/>
      <c r="J180" s="11"/>
      <c r="K180" s="10"/>
      <c r="L180" s="11"/>
      <c r="M180" s="11"/>
      <c r="N180" s="12"/>
    </row>
    <row r="181" spans="1:14" x14ac:dyDescent="0.4">
      <c r="B181" s="1"/>
      <c r="C181" s="10">
        <f t="shared" si="35"/>
        <v>215.97937636674101</v>
      </c>
      <c r="D181" s="39">
        <f t="shared" si="29"/>
        <v>18495.050950373148</v>
      </c>
      <c r="E181" s="11">
        <f t="shared" si="12"/>
        <v>215.97937636674101</v>
      </c>
      <c r="F181" s="11"/>
      <c r="G181" s="10"/>
      <c r="H181" s="11"/>
      <c r="I181" s="11"/>
      <c r="J181" s="11"/>
      <c r="K181" s="10"/>
      <c r="L181" s="11"/>
      <c r="M181" s="11"/>
      <c r="N181" s="12"/>
    </row>
    <row r="182" spans="1:14" x14ac:dyDescent="0.4">
      <c r="B182" s="1"/>
      <c r="C182" s="10">
        <f t="shared" si="35"/>
        <v>215.97937636674101</v>
      </c>
      <c r="D182" s="39">
        <f t="shared" si="29"/>
        <v>18338.572015911577</v>
      </c>
      <c r="E182" s="11">
        <f t="shared" si="12"/>
        <v>215.97937636674101</v>
      </c>
      <c r="F182" s="11"/>
      <c r="G182" s="10"/>
      <c r="H182" s="11"/>
      <c r="I182" s="11"/>
      <c r="J182" s="11"/>
      <c r="K182" s="10"/>
      <c r="L182" s="11"/>
      <c r="M182" s="11"/>
      <c r="N182" s="12"/>
    </row>
    <row r="183" spans="1:14" x14ac:dyDescent="0.4">
      <c r="A183">
        <f>A171+1</f>
        <v>16</v>
      </c>
      <c r="B183" s="1">
        <f>B171*(1+$P$3)</f>
        <v>54052.132664695564</v>
      </c>
      <c r="C183" s="10">
        <f>MAX(0,MIN((0.1*($B183-1.5*$P$12*(1+$P$18)^(A183-1))/12),$S$11))</f>
        <v>232.1034902728729</v>
      </c>
      <c r="D183" s="39">
        <f t="shared" si="29"/>
        <v>18181.583724849937</v>
      </c>
      <c r="E183" s="11">
        <f t="shared" si="12"/>
        <v>232.1034902728729</v>
      </c>
      <c r="F183" s="11">
        <f>E183/(1+$P$15)^A183</f>
        <v>144.63922161565179</v>
      </c>
      <c r="G183" s="10">
        <f>MAX(0,0.1*($B183-1.5*$P$12*(1+$P$18)^(A183-1)))</f>
        <v>2785.2418832744747</v>
      </c>
      <c r="H183" s="11">
        <f>H171*(1+$S$5)-G183</f>
        <v>-27340.352123071585</v>
      </c>
      <c r="I183" s="11">
        <f t="shared" si="13"/>
        <v>0</v>
      </c>
      <c r="J183" s="11">
        <f>I183/(1+$P$15)^A183</f>
        <v>0</v>
      </c>
      <c r="K183" s="10">
        <f>MAX(25*12,0.15*($B183-1.5*$P$12*(1+$P$18)^(A183-1)))</f>
        <v>4177.8628249117119</v>
      </c>
      <c r="L183" s="11">
        <f>L171*(1+$S$5)-K183</f>
        <v>-41010.52818460737</v>
      </c>
      <c r="M183" s="11">
        <f>IF(AND(SUM($K$3:K183)&gt;=$S$12,SUM($M$3:M171)&lt;$S$12),$S$12-SUM($M$3:M171),IF(AND(SUM($K$3:K171)&gt;=$S$12,SUM($M$3:M171)=$S$12),0,K183))</f>
        <v>0</v>
      </c>
      <c r="N183" s="12">
        <f>M183/(1+$P$15)^A183</f>
        <v>0</v>
      </c>
    </row>
    <row r="184" spans="1:14" x14ac:dyDescent="0.4">
      <c r="B184" s="1"/>
      <c r="C184" s="10">
        <f>C183</f>
        <v>232.1034902728729</v>
      </c>
      <c r="D184" s="39">
        <f t="shared" si="29"/>
        <v>18007.907819457479</v>
      </c>
      <c r="E184" s="11">
        <f t="shared" ref="E184:E194" si="36">MAX(IF(D184&gt;0,C184,C184+D184),0)</f>
        <v>232.1034902728729</v>
      </c>
      <c r="F184" s="11"/>
      <c r="G184" s="10"/>
      <c r="H184" s="11"/>
      <c r="I184" s="11"/>
      <c r="J184" s="11"/>
      <c r="K184" s="10"/>
      <c r="L184" s="11"/>
      <c r="M184" s="11"/>
      <c r="N184" s="12"/>
    </row>
    <row r="185" spans="1:14" x14ac:dyDescent="0.4">
      <c r="B185" s="1"/>
      <c r="C185" s="10">
        <f t="shared" ref="C185:C194" si="37">C184</f>
        <v>232.1034902728729</v>
      </c>
      <c r="D185" s="39">
        <f t="shared" si="29"/>
        <v>17833.666579382825</v>
      </c>
      <c r="E185" s="11">
        <f t="shared" si="36"/>
        <v>232.1034902728729</v>
      </c>
      <c r="F185" s="11"/>
      <c r="G185" s="10"/>
      <c r="H185" s="11"/>
      <c r="I185" s="11"/>
      <c r="J185" s="11"/>
      <c r="K185" s="10"/>
      <c r="L185" s="11"/>
      <c r="M185" s="11"/>
      <c r="N185" s="12"/>
    </row>
    <row r="186" spans="1:14" x14ac:dyDescent="0.4">
      <c r="B186" s="1"/>
      <c r="C186" s="10">
        <f t="shared" si="37"/>
        <v>232.1034902728729</v>
      </c>
      <c r="D186" s="39">
        <f t="shared" si="29"/>
        <v>17658.858164397752</v>
      </c>
      <c r="E186" s="11">
        <f t="shared" si="36"/>
        <v>232.1034902728729</v>
      </c>
      <c r="F186" s="11"/>
      <c r="G186" s="10"/>
      <c r="H186" s="11"/>
      <c r="I186" s="11"/>
      <c r="J186" s="11"/>
      <c r="K186" s="10"/>
      <c r="L186" s="11"/>
      <c r="M186" s="11"/>
      <c r="N186" s="12"/>
    </row>
    <row r="187" spans="1:14" x14ac:dyDescent="0.4">
      <c r="B187" s="1"/>
      <c r="C187" s="10">
        <f t="shared" si="37"/>
        <v>232.1034902728729</v>
      </c>
      <c r="D187" s="39">
        <f t="shared" si="29"/>
        <v>17483.480728283885</v>
      </c>
      <c r="E187" s="11">
        <f t="shared" si="36"/>
        <v>232.1034902728729</v>
      </c>
      <c r="F187" s="11"/>
      <c r="G187" s="10"/>
      <c r="H187" s="11"/>
      <c r="I187" s="11"/>
      <c r="J187" s="11"/>
      <c r="K187" s="10"/>
      <c r="L187" s="11"/>
      <c r="M187" s="11"/>
      <c r="N187" s="12"/>
    </row>
    <row r="188" spans="1:14" x14ac:dyDescent="0.4">
      <c r="B188" s="1"/>
      <c r="C188" s="10">
        <f t="shared" si="37"/>
        <v>232.1034902728729</v>
      </c>
      <c r="D188" s="39">
        <f t="shared" si="29"/>
        <v>17307.5324188132</v>
      </c>
      <c r="E188" s="11">
        <f t="shared" si="36"/>
        <v>232.1034902728729</v>
      </c>
      <c r="F188" s="11"/>
      <c r="G188" s="10"/>
      <c r="H188" s="11"/>
      <c r="I188" s="11"/>
      <c r="J188" s="11"/>
      <c r="K188" s="10"/>
      <c r="L188" s="11"/>
      <c r="M188" s="11"/>
      <c r="N188" s="12"/>
    </row>
    <row r="189" spans="1:14" x14ac:dyDescent="0.4">
      <c r="B189" s="1"/>
      <c r="C189" s="10">
        <f t="shared" si="37"/>
        <v>232.1034902728729</v>
      </c>
      <c r="D189" s="39">
        <f t="shared" si="29"/>
        <v>17131.011377728461</v>
      </c>
      <c r="E189" s="11">
        <f t="shared" si="36"/>
        <v>232.1034902728729</v>
      </c>
      <c r="F189" s="11"/>
      <c r="G189" s="10"/>
      <c r="H189" s="11"/>
      <c r="I189" s="11"/>
      <c r="J189" s="11"/>
      <c r="K189" s="10"/>
      <c r="L189" s="11"/>
      <c r="M189" s="11"/>
      <c r="N189" s="12"/>
    </row>
    <row r="190" spans="1:14" x14ac:dyDescent="0.4">
      <c r="B190" s="1"/>
      <c r="C190" s="10">
        <f t="shared" si="37"/>
        <v>232.1034902728729</v>
      </c>
      <c r="D190" s="39">
        <f t="shared" si="29"/>
        <v>16953.915740723594</v>
      </c>
      <c r="E190" s="11">
        <f t="shared" si="36"/>
        <v>232.1034902728729</v>
      </c>
      <c r="F190" s="11"/>
      <c r="G190" s="10"/>
      <c r="H190" s="11"/>
      <c r="I190" s="11"/>
      <c r="J190" s="11"/>
      <c r="K190" s="10"/>
      <c r="L190" s="11"/>
      <c r="M190" s="11"/>
      <c r="N190" s="12"/>
    </row>
    <row r="191" spans="1:14" x14ac:dyDescent="0.4">
      <c r="B191" s="1"/>
      <c r="C191" s="10">
        <f t="shared" si="37"/>
        <v>232.1034902728729</v>
      </c>
      <c r="D191" s="39">
        <f t="shared" si="29"/>
        <v>16776.243637424006</v>
      </c>
      <c r="E191" s="11">
        <f t="shared" si="36"/>
        <v>232.1034902728729</v>
      </c>
      <c r="F191" s="11"/>
      <c r="G191" s="10"/>
      <c r="H191" s="11"/>
      <c r="I191" s="11"/>
      <c r="J191" s="11"/>
      <c r="K191" s="10"/>
      <c r="L191" s="11"/>
      <c r="M191" s="11"/>
      <c r="N191" s="12"/>
    </row>
    <row r="192" spans="1:14" x14ac:dyDescent="0.4">
      <c r="B192" s="1"/>
      <c r="C192" s="10">
        <f t="shared" si="37"/>
        <v>232.1034902728729</v>
      </c>
      <c r="D192" s="39">
        <f t="shared" si="29"/>
        <v>16597.993191366812</v>
      </c>
      <c r="E192" s="11">
        <f t="shared" si="36"/>
        <v>232.1034902728729</v>
      </c>
      <c r="F192" s="11"/>
      <c r="G192" s="10"/>
      <c r="H192" s="11"/>
      <c r="I192" s="11"/>
      <c r="J192" s="11"/>
      <c r="K192" s="10"/>
      <c r="L192" s="11"/>
      <c r="M192" s="11"/>
      <c r="N192" s="12"/>
    </row>
    <row r="193" spans="1:14" x14ac:dyDescent="0.4">
      <c r="B193" s="1"/>
      <c r="C193" s="10">
        <f t="shared" si="37"/>
        <v>232.1034902728729</v>
      </c>
      <c r="D193" s="39">
        <f t="shared" si="29"/>
        <v>16419.162519981037</v>
      </c>
      <c r="E193" s="11">
        <f t="shared" si="36"/>
        <v>232.1034902728729</v>
      </c>
      <c r="F193" s="11"/>
      <c r="G193" s="10"/>
      <c r="H193" s="11"/>
      <c r="I193" s="11"/>
      <c r="J193" s="11"/>
      <c r="K193" s="10"/>
      <c r="L193" s="11"/>
      <c r="M193" s="11"/>
      <c r="N193" s="12"/>
    </row>
    <row r="194" spans="1:14" x14ac:dyDescent="0.4">
      <c r="B194" s="1"/>
      <c r="C194" s="10">
        <f t="shared" si="37"/>
        <v>232.1034902728729</v>
      </c>
      <c r="D194" s="39">
        <f t="shared" si="29"/>
        <v>16239.74973456772</v>
      </c>
      <c r="E194" s="11">
        <f t="shared" si="36"/>
        <v>232.1034902728729</v>
      </c>
      <c r="F194" s="11"/>
      <c r="G194" s="10"/>
      <c r="H194" s="11"/>
      <c r="I194" s="11"/>
      <c r="J194" s="11"/>
      <c r="K194" s="10"/>
      <c r="L194" s="11"/>
      <c r="M194" s="11"/>
      <c r="N194" s="12"/>
    </row>
    <row r="195" spans="1:14" x14ac:dyDescent="0.4">
      <c r="A195">
        <f>A183+1</f>
        <v>17</v>
      </c>
      <c r="B195" s="1">
        <f>B183*(1+$P$3)</f>
        <v>56754.739297930348</v>
      </c>
      <c r="C195" s="10">
        <f>MAX(0,MIN((0.1*($B195-1.5*$P$12*(1+$P$18)^(A195-1))/12),$S$11))</f>
        <v>249.16693850150637</v>
      </c>
      <c r="D195" s="39">
        <f t="shared" si="29"/>
        <v>16059.752940279976</v>
      </c>
      <c r="E195" s="11">
        <f t="shared" si="12"/>
        <v>249.16693850150637</v>
      </c>
      <c r="F195" s="11">
        <f>E195/(1+$P$15)^A195</f>
        <v>150.75009555420408</v>
      </c>
      <c r="G195" s="10">
        <f>MAX(0,0.1*($B195-1.5*$P$12*(1+$P$18)^(A195-1)))</f>
        <v>2990.0032620180764</v>
      </c>
      <c r="H195" s="11">
        <f>H183*(1+$S$5)-G195</f>
        <v>-31396.62911788945</v>
      </c>
      <c r="I195" s="11">
        <f t="shared" si="13"/>
        <v>0</v>
      </c>
      <c r="J195" s="11">
        <f>I195/(1+$P$15)^A195</f>
        <v>0</v>
      </c>
      <c r="K195" s="10">
        <f>MAX(25*12,0.15*($B195-1.5*$P$12*(1+$P$18)^(A195-1)))</f>
        <v>4485.0048930271141</v>
      </c>
      <c r="L195" s="11">
        <f>L183*(1+$S$5)-K195</f>
        <v>-47094.943676834169</v>
      </c>
      <c r="M195" s="11">
        <f>IF(AND(SUM($K$3:K195)&gt;=$S$12,SUM($M$3:M183)&lt;$S$12),$S$12-SUM($M$3:M183),IF(AND(SUM($K$3:K183)&gt;=$S$12,SUM($M$3:M183)=$S$12),0,K195))</f>
        <v>0</v>
      </c>
      <c r="N195" s="12">
        <f>M195/(1+$P$15)^A195</f>
        <v>0</v>
      </c>
    </row>
    <row r="196" spans="1:14" x14ac:dyDescent="0.4">
      <c r="B196" s="1"/>
      <c r="C196" s="10">
        <f>C195</f>
        <v>249.16693850150637</v>
      </c>
      <c r="D196" s="39">
        <f t="shared" si="29"/>
        <v>15862.051244423683</v>
      </c>
      <c r="E196" s="11">
        <f t="shared" si="12"/>
        <v>249.16693850150637</v>
      </c>
      <c r="F196" s="11"/>
      <c r="G196" s="10"/>
      <c r="H196" s="11"/>
      <c r="I196" s="11"/>
      <c r="J196" s="11"/>
      <c r="K196" s="10"/>
      <c r="L196" s="11"/>
      <c r="M196" s="11"/>
      <c r="N196" s="12"/>
    </row>
    <row r="197" spans="1:14" x14ac:dyDescent="0.4">
      <c r="B197" s="1"/>
      <c r="C197" s="10">
        <f t="shared" ref="C197:C206" si="38">C196</f>
        <v>249.16693850150637</v>
      </c>
      <c r="D197" s="39">
        <f t="shared" ref="D197:D242" si="39">(D196-C196)*(1+$S$5/$S$7)^($S$7/12)</f>
        <v>15663.706007224428</v>
      </c>
      <c r="E197" s="11">
        <f t="shared" si="12"/>
        <v>249.16693850150637</v>
      </c>
      <c r="F197" s="11"/>
      <c r="G197" s="10"/>
      <c r="H197" s="11"/>
      <c r="I197" s="11"/>
      <c r="J197" s="11"/>
      <c r="K197" s="10"/>
      <c r="L197" s="11"/>
      <c r="M197" s="11"/>
      <c r="N197" s="12"/>
    </row>
    <row r="198" spans="1:14" x14ac:dyDescent="0.4">
      <c r="B198" s="1"/>
      <c r="C198" s="10">
        <f t="shared" si="38"/>
        <v>249.16693850150637</v>
      </c>
      <c r="D198" s="39">
        <f t="shared" si="39"/>
        <v>15464.715133882475</v>
      </c>
      <c r="E198" s="11">
        <f t="shared" si="12"/>
        <v>249.16693850150637</v>
      </c>
      <c r="F198" s="11"/>
      <c r="G198" s="10"/>
      <c r="H198" s="11"/>
      <c r="I198" s="11"/>
      <c r="J198" s="11"/>
      <c r="K198" s="10"/>
      <c r="L198" s="11"/>
      <c r="M198" s="11"/>
      <c r="N198" s="12"/>
    </row>
    <row r="199" spans="1:14" x14ac:dyDescent="0.4">
      <c r="B199" s="1"/>
      <c r="C199" s="10">
        <f t="shared" si="38"/>
        <v>249.16693850150637</v>
      </c>
      <c r="D199" s="39">
        <f t="shared" si="39"/>
        <v>15265.07652277928</v>
      </c>
      <c r="E199" s="11">
        <f t="shared" si="12"/>
        <v>249.16693850150637</v>
      </c>
      <c r="F199" s="11"/>
      <c r="G199" s="10"/>
      <c r="H199" s="11"/>
      <c r="I199" s="11"/>
      <c r="J199" s="11"/>
      <c r="K199" s="10"/>
      <c r="L199" s="11"/>
      <c r="M199" s="11"/>
      <c r="N199" s="12"/>
    </row>
    <row r="200" spans="1:14" x14ac:dyDescent="0.4">
      <c r="B200" s="1"/>
      <c r="C200" s="10">
        <f t="shared" si="38"/>
        <v>249.16693850150637</v>
      </c>
      <c r="D200" s="39">
        <f t="shared" si="39"/>
        <v>15064.788065455292</v>
      </c>
      <c r="E200" s="11">
        <f t="shared" si="12"/>
        <v>249.16693850150637</v>
      </c>
      <c r="F200" s="11"/>
      <c r="G200" s="10"/>
      <c r="H200" s="11"/>
      <c r="I200" s="11"/>
      <c r="J200" s="11"/>
      <c r="K200" s="10"/>
      <c r="L200" s="11"/>
      <c r="M200" s="11"/>
      <c r="N200" s="12"/>
    </row>
    <row r="201" spans="1:14" x14ac:dyDescent="0.4">
      <c r="B201" s="1"/>
      <c r="C201" s="10">
        <f t="shared" si="38"/>
        <v>249.16693850150637</v>
      </c>
      <c r="D201" s="39">
        <f t="shared" si="39"/>
        <v>14863.847646587687</v>
      </c>
      <c r="E201" s="11">
        <f t="shared" si="12"/>
        <v>249.16693850150637</v>
      </c>
      <c r="F201" s="11"/>
      <c r="G201" s="10"/>
      <c r="H201" s="11"/>
      <c r="I201" s="11"/>
      <c r="J201" s="11"/>
      <c r="K201" s="10"/>
      <c r="L201" s="11"/>
      <c r="M201" s="11"/>
      <c r="N201" s="12"/>
    </row>
    <row r="202" spans="1:14" x14ac:dyDescent="0.4">
      <c r="B202" s="1"/>
      <c r="C202" s="10">
        <f t="shared" si="38"/>
        <v>249.16693850150637</v>
      </c>
      <c r="D202" s="39">
        <f t="shared" si="39"/>
        <v>14662.253143968024</v>
      </c>
      <c r="E202" s="11">
        <f t="shared" si="12"/>
        <v>249.16693850150637</v>
      </c>
      <c r="F202" s="11"/>
      <c r="G202" s="10"/>
      <c r="H202" s="11"/>
      <c r="I202" s="11"/>
      <c r="J202" s="11"/>
      <c r="K202" s="10"/>
      <c r="L202" s="11"/>
      <c r="M202" s="11"/>
      <c r="N202" s="12"/>
    </row>
    <row r="203" spans="1:14" x14ac:dyDescent="0.4">
      <c r="B203" s="1"/>
      <c r="C203" s="10">
        <f t="shared" si="38"/>
        <v>249.16693850150637</v>
      </c>
      <c r="D203" s="39">
        <f t="shared" si="39"/>
        <v>14460.002428479838</v>
      </c>
      <c r="E203" s="11">
        <f t="shared" si="12"/>
        <v>249.16693850150637</v>
      </c>
      <c r="F203" s="11"/>
      <c r="G203" s="10"/>
      <c r="H203" s="11"/>
      <c r="I203" s="11"/>
      <c r="J203" s="11"/>
      <c r="K203" s="10"/>
      <c r="L203" s="11"/>
      <c r="M203" s="11"/>
      <c r="N203" s="12"/>
    </row>
    <row r="204" spans="1:14" x14ac:dyDescent="0.4">
      <c r="B204" s="1"/>
      <c r="C204" s="10">
        <f t="shared" si="38"/>
        <v>249.16693850150637</v>
      </c>
      <c r="D204" s="39">
        <f t="shared" si="39"/>
        <v>14257.093364076147</v>
      </c>
      <c r="E204" s="11">
        <f t="shared" si="12"/>
        <v>249.16693850150637</v>
      </c>
      <c r="F204" s="11"/>
      <c r="G204" s="10"/>
      <c r="H204" s="11"/>
      <c r="I204" s="11"/>
      <c r="J204" s="11"/>
      <c r="K204" s="10"/>
      <c r="L204" s="11"/>
      <c r="M204" s="11"/>
      <c r="N204" s="12"/>
    </row>
    <row r="205" spans="1:14" x14ac:dyDescent="0.4">
      <c r="B205" s="1"/>
      <c r="C205" s="10">
        <f t="shared" si="38"/>
        <v>249.16693850150637</v>
      </c>
      <c r="D205" s="39">
        <f t="shared" si="39"/>
        <v>14053.523807756896</v>
      </c>
      <c r="E205" s="11">
        <f t="shared" si="12"/>
        <v>249.16693850150637</v>
      </c>
      <c r="F205" s="11"/>
      <c r="G205" s="10"/>
      <c r="H205" s="11"/>
      <c r="I205" s="11"/>
      <c r="J205" s="11"/>
      <c r="K205" s="10"/>
      <c r="L205" s="11"/>
      <c r="M205" s="11"/>
      <c r="N205" s="12"/>
    </row>
    <row r="206" spans="1:14" x14ac:dyDescent="0.4">
      <c r="B206" s="1"/>
      <c r="C206" s="10">
        <f t="shared" si="38"/>
        <v>249.16693850150637</v>
      </c>
      <c r="D206" s="39">
        <f t="shared" si="39"/>
        <v>13849.291609546321</v>
      </c>
      <c r="E206" s="11">
        <f t="shared" si="12"/>
        <v>249.16693850150637</v>
      </c>
      <c r="F206" s="11"/>
      <c r="G206" s="10"/>
      <c r="H206" s="11"/>
      <c r="I206" s="11"/>
      <c r="J206" s="11"/>
      <c r="K206" s="10"/>
      <c r="L206" s="11"/>
      <c r="M206" s="11"/>
      <c r="N206" s="12"/>
    </row>
    <row r="207" spans="1:14" x14ac:dyDescent="0.4">
      <c r="A207">
        <f>A195+1</f>
        <v>18</v>
      </c>
      <c r="B207" s="1">
        <f>B195*(1+$P$3)</f>
        <v>59592.476262826865</v>
      </c>
      <c r="C207" s="10">
        <f>MAX(0,MIN((0.1*($B207-1.5*$P$12*(1+$P$18)^(A207-1))/12),$S$11))</f>
        <v>267.22001598444621</v>
      </c>
      <c r="D207" s="39">
        <f t="shared" si="39"/>
        <v>13644.394612470247</v>
      </c>
      <c r="E207" s="11">
        <f t="shared" si="12"/>
        <v>267.22001598444621</v>
      </c>
      <c r="F207" s="11">
        <f>E207/(1+$P$15)^A207</f>
        <v>156.96359643640059</v>
      </c>
      <c r="G207" s="10">
        <f>MAX(0,0.1*($B207-1.5*$P$12*(1+$P$18)^(A207-1)))</f>
        <v>3206.6401918133542</v>
      </c>
      <c r="H207" s="11">
        <f>H195*(1+$S$5)-G207</f>
        <v>-35827.737845300493</v>
      </c>
      <c r="I207" s="11">
        <f t="shared" si="13"/>
        <v>0</v>
      </c>
      <c r="J207" s="11">
        <f>I207/(1+$P$15)^A207</f>
        <v>0</v>
      </c>
      <c r="K207" s="10">
        <f>MAX(25*12,0.15*($B207-1.5*$P$12*(1+$P$18)^(A207-1)))</f>
        <v>4809.9602877200314</v>
      </c>
      <c r="L207" s="11">
        <f>L195*(1+$S$5)-K207</f>
        <v>-53741.606767950732</v>
      </c>
      <c r="M207" s="11">
        <f>IF(AND(SUM($K$3:K207)&gt;=$S$12,SUM($M$3:M195)&lt;$S$12),$S$12-SUM($M$3:M195),IF(AND(SUM($K$3:K195)&gt;=$S$12,SUM($M$3:M195)=$S$12),0,K207))</f>
        <v>0</v>
      </c>
      <c r="N207" s="12">
        <f>M207/(1+$P$15)^A207</f>
        <v>0</v>
      </c>
    </row>
    <row r="208" spans="1:14" x14ac:dyDescent="0.4">
      <c r="B208" s="1"/>
      <c r="C208" s="10">
        <f>C207</f>
        <v>267.22001598444621</v>
      </c>
      <c r="D208" s="39">
        <f t="shared" si="39"/>
        <v>13420.71881024474</v>
      </c>
      <c r="E208" s="11">
        <f t="shared" ref="E208:E218" si="40">MAX(IF(D208&gt;0,C208,C208+D208),0)</f>
        <v>267.22001598444621</v>
      </c>
      <c r="F208" s="11"/>
      <c r="G208" s="10"/>
      <c r="H208" s="11"/>
      <c r="I208" s="11"/>
      <c r="J208" s="11"/>
      <c r="K208" s="10"/>
      <c r="L208" s="11"/>
      <c r="M208" s="11"/>
      <c r="N208" s="12"/>
    </row>
    <row r="209" spans="1:14" x14ac:dyDescent="0.4">
      <c r="B209" s="1"/>
      <c r="C209" s="10">
        <f t="shared" ref="C209:C218" si="41">C208</f>
        <v>267.22001598444621</v>
      </c>
      <c r="D209" s="39">
        <f t="shared" si="39"/>
        <v>13196.314918027243</v>
      </c>
      <c r="E209" s="11">
        <f t="shared" si="40"/>
        <v>267.22001598444621</v>
      </c>
      <c r="F209" s="11"/>
      <c r="G209" s="10"/>
      <c r="H209" s="11"/>
      <c r="I209" s="11"/>
      <c r="J209" s="11"/>
      <c r="K209" s="10"/>
      <c r="L209" s="11"/>
      <c r="M209" s="11"/>
      <c r="N209" s="12"/>
    </row>
    <row r="210" spans="1:14" x14ac:dyDescent="0.4">
      <c r="B210" s="1"/>
      <c r="C210" s="10">
        <f t="shared" si="41"/>
        <v>267.22001598444621</v>
      </c>
      <c r="D210" s="39">
        <f t="shared" si="39"/>
        <v>12971.180565802621</v>
      </c>
      <c r="E210" s="11">
        <f t="shared" si="40"/>
        <v>267.22001598444621</v>
      </c>
      <c r="F210" s="11"/>
      <c r="G210" s="10"/>
      <c r="H210" s="11"/>
      <c r="I210" s="11"/>
      <c r="J210" s="11"/>
      <c r="K210" s="10"/>
      <c r="L210" s="11"/>
      <c r="M210" s="11"/>
      <c r="N210" s="12"/>
    </row>
    <row r="211" spans="1:14" x14ac:dyDescent="0.4">
      <c r="B211" s="1"/>
      <c r="C211" s="10">
        <f t="shared" si="41"/>
        <v>267.22001598444621</v>
      </c>
      <c r="D211" s="39">
        <f t="shared" si="39"/>
        <v>12745.313375841073</v>
      </c>
      <c r="E211" s="11">
        <f t="shared" si="40"/>
        <v>267.22001598444621</v>
      </c>
      <c r="F211" s="11"/>
      <c r="G211" s="10"/>
      <c r="H211" s="11"/>
      <c r="I211" s="11"/>
      <c r="J211" s="11"/>
      <c r="K211" s="10"/>
      <c r="L211" s="11"/>
      <c r="M211" s="11"/>
      <c r="N211" s="12"/>
    </row>
    <row r="212" spans="1:14" x14ac:dyDescent="0.4">
      <c r="B212" s="1"/>
      <c r="C212" s="10">
        <f t="shared" si="41"/>
        <v>267.22001598444621</v>
      </c>
      <c r="D212" s="39">
        <f t="shared" si="39"/>
        <v>12518.71096267302</v>
      </c>
      <c r="E212" s="11">
        <f t="shared" si="40"/>
        <v>267.22001598444621</v>
      </c>
      <c r="F212" s="11"/>
      <c r="G212" s="10"/>
      <c r="H212" s="11"/>
      <c r="I212" s="11"/>
      <c r="J212" s="11"/>
      <c r="K212" s="10"/>
      <c r="L212" s="11"/>
      <c r="M212" s="11"/>
      <c r="N212" s="12"/>
    </row>
    <row r="213" spans="1:14" x14ac:dyDescent="0.4">
      <c r="B213" s="1"/>
      <c r="C213" s="10">
        <f t="shared" si="41"/>
        <v>267.22001598444621</v>
      </c>
      <c r="D213" s="39">
        <f t="shared" si="39"/>
        <v>12291.370933063907</v>
      </c>
      <c r="E213" s="11">
        <f t="shared" si="40"/>
        <v>267.22001598444621</v>
      </c>
      <c r="F213" s="11"/>
      <c r="G213" s="10"/>
      <c r="H213" s="11"/>
      <c r="I213" s="11"/>
      <c r="J213" s="11"/>
      <c r="K213" s="10"/>
      <c r="L213" s="11"/>
      <c r="M213" s="11"/>
      <c r="N213" s="12"/>
    </row>
    <row r="214" spans="1:14" x14ac:dyDescent="0.4">
      <c r="B214" s="1"/>
      <c r="C214" s="10">
        <f t="shared" si="41"/>
        <v>267.22001598444621</v>
      </c>
      <c r="D214" s="39">
        <f t="shared" si="39"/>
        <v>12063.290885988934</v>
      </c>
      <c r="E214" s="11">
        <f t="shared" si="40"/>
        <v>267.22001598444621</v>
      </c>
      <c r="F214" s="11"/>
      <c r="G214" s="10"/>
      <c r="H214" s="11"/>
      <c r="I214" s="11"/>
      <c r="J214" s="11"/>
      <c r="K214" s="10"/>
      <c r="L214" s="11"/>
      <c r="M214" s="11"/>
      <c r="N214" s="12"/>
    </row>
    <row r="215" spans="1:14" x14ac:dyDescent="0.4">
      <c r="B215" s="1"/>
      <c r="C215" s="10">
        <f t="shared" si="41"/>
        <v>267.22001598444621</v>
      </c>
      <c r="D215" s="39">
        <f t="shared" si="39"/>
        <v>11834.468412607692</v>
      </c>
      <c r="E215" s="11">
        <f t="shared" si="40"/>
        <v>267.22001598444621</v>
      </c>
      <c r="F215" s="11"/>
      <c r="G215" s="10"/>
      <c r="H215" s="11"/>
      <c r="I215" s="11"/>
      <c r="J215" s="11"/>
      <c r="K215" s="10"/>
      <c r="L215" s="11"/>
      <c r="M215" s="11"/>
      <c r="N215" s="12"/>
    </row>
    <row r="216" spans="1:14" x14ac:dyDescent="0.4">
      <c r="B216" s="1"/>
      <c r="C216" s="10">
        <f t="shared" si="41"/>
        <v>267.22001598444621</v>
      </c>
      <c r="D216" s="39">
        <f t="shared" si="39"/>
        <v>11604.901096238726</v>
      </c>
      <c r="E216" s="11">
        <f t="shared" si="40"/>
        <v>267.22001598444621</v>
      </c>
      <c r="F216" s="11"/>
      <c r="G216" s="10"/>
      <c r="H216" s="11"/>
      <c r="I216" s="11"/>
      <c r="J216" s="11"/>
      <c r="K216" s="10"/>
      <c r="L216" s="11"/>
      <c r="M216" s="11"/>
      <c r="N216" s="12"/>
    </row>
    <row r="217" spans="1:14" x14ac:dyDescent="0.4">
      <c r="B217" s="1"/>
      <c r="C217" s="10">
        <f t="shared" si="41"/>
        <v>267.22001598444621</v>
      </c>
      <c r="D217" s="39">
        <f t="shared" si="39"/>
        <v>11374.586512334008</v>
      </c>
      <c r="E217" s="11">
        <f t="shared" si="40"/>
        <v>267.22001598444621</v>
      </c>
      <c r="F217" s="11"/>
      <c r="G217" s="10"/>
      <c r="H217" s="11"/>
      <c r="I217" s="11"/>
      <c r="J217" s="11"/>
      <c r="K217" s="10"/>
      <c r="L217" s="11"/>
      <c r="M217" s="11"/>
      <c r="N217" s="12"/>
    </row>
    <row r="218" spans="1:14" x14ac:dyDescent="0.4">
      <c r="B218" s="1"/>
      <c r="C218" s="10">
        <f t="shared" si="41"/>
        <v>267.22001598444621</v>
      </c>
      <c r="D218" s="39">
        <f t="shared" si="39"/>
        <v>11143.522228453334</v>
      </c>
      <c r="E218" s="11">
        <f t="shared" si="40"/>
        <v>267.22001598444621</v>
      </c>
      <c r="F218" s="11"/>
      <c r="G218" s="10"/>
      <c r="H218" s="11"/>
      <c r="I218" s="11"/>
      <c r="J218" s="11"/>
      <c r="K218" s="10"/>
      <c r="L218" s="11"/>
      <c r="M218" s="11"/>
      <c r="N218" s="12"/>
    </row>
    <row r="219" spans="1:14" x14ac:dyDescent="0.4">
      <c r="A219">
        <f>A207+1</f>
        <v>19</v>
      </c>
      <c r="B219" s="1">
        <f>B207*(1+$P$3)</f>
        <v>62572.100075968214</v>
      </c>
      <c r="C219" s="10">
        <f>MAX(0,MIN((0.1*($B219-1.5*$P$12*(1+$P$18)^(A219-1))/12),$S$11))</f>
        <v>271.61470362205529</v>
      </c>
      <c r="D219" s="39">
        <f t="shared" si="39"/>
        <v>10911.705804238631</v>
      </c>
      <c r="E219" s="11">
        <f t="shared" si="12"/>
        <v>271.61470362205529</v>
      </c>
      <c r="F219" s="11">
        <f>E219/(1+$P$15)^A219</f>
        <v>154.89807015232049</v>
      </c>
      <c r="G219" s="10">
        <f>MAX(0,0.1*($B219-1.5*$P$12*(1+$P$18)^(A219-1)))</f>
        <v>3435.7873872657556</v>
      </c>
      <c r="H219" s="11">
        <f>H207*(1+$S$5)-G219</f>
        <v>-40660.807008532967</v>
      </c>
      <c r="I219" s="11">
        <f t="shared" si="13"/>
        <v>0</v>
      </c>
      <c r="J219" s="11">
        <f>I219/(1+$P$15)^A219</f>
        <v>0</v>
      </c>
      <c r="K219" s="10">
        <f>MAX(25*12,0.15*($B219-1.5*$P$12*(1+$P$18)^(A219-1)))</f>
        <v>5153.6810808986329</v>
      </c>
      <c r="L219" s="11">
        <f>L207*(1+$S$5)-K219</f>
        <v>-60991.210512799444</v>
      </c>
      <c r="M219" s="11">
        <f>IF(AND(SUM($K$3:K219)&gt;=$S$12,SUM($M$3:M207)&lt;$S$12),$S$12-SUM($M$3:M207),IF(AND(SUM($K$3:K207)&gt;=$S$12,SUM($M$3:M207)=$S$12),0,K219))</f>
        <v>0</v>
      </c>
      <c r="N219" s="12">
        <f>M219/(1+$P$15)^A219</f>
        <v>0</v>
      </c>
    </row>
    <row r="220" spans="1:14" x14ac:dyDescent="0.4">
      <c r="B220" s="1"/>
      <c r="C220" s="10">
        <f>C219</f>
        <v>271.61470362205529</v>
      </c>
      <c r="D220" s="39">
        <f t="shared" si="39"/>
        <v>10674.725798546104</v>
      </c>
      <c r="E220" s="11">
        <f t="shared" ref="E220:E230" si="42">MAX(IF(D220&gt;0,C220,C220+D220),0)</f>
        <v>271.61470362205529</v>
      </c>
      <c r="F220" s="11"/>
      <c r="G220" s="10"/>
      <c r="H220" s="11"/>
      <c r="I220" s="11"/>
      <c r="J220" s="11"/>
      <c r="K220" s="10"/>
      <c r="L220" s="11"/>
      <c r="M220" s="11"/>
      <c r="N220" s="12"/>
    </row>
    <row r="221" spans="1:14" x14ac:dyDescent="0.4">
      <c r="B221" s="1"/>
      <c r="C221" s="10">
        <f t="shared" ref="C221:C230" si="43">C220</f>
        <v>271.61470362205529</v>
      </c>
      <c r="D221" s="39">
        <f t="shared" si="39"/>
        <v>10436.974396177093</v>
      </c>
      <c r="E221" s="11">
        <f t="shared" si="42"/>
        <v>271.61470362205529</v>
      </c>
      <c r="F221" s="11"/>
      <c r="G221" s="10"/>
      <c r="H221" s="11"/>
      <c r="I221" s="11"/>
      <c r="J221" s="11"/>
      <c r="K221" s="10"/>
      <c r="L221" s="11"/>
      <c r="M221" s="11"/>
      <c r="N221" s="12"/>
    </row>
    <row r="222" spans="1:14" x14ac:dyDescent="0.4">
      <c r="B222" s="1"/>
      <c r="C222" s="10">
        <f t="shared" si="43"/>
        <v>271.61470362205529</v>
      </c>
      <c r="D222" s="39">
        <f t="shared" si="39"/>
        <v>10198.449086148315</v>
      </c>
      <c r="E222" s="11">
        <f t="shared" si="42"/>
        <v>271.61470362205529</v>
      </c>
      <c r="F222" s="11"/>
      <c r="G222" s="10"/>
      <c r="H222" s="11"/>
      <c r="I222" s="11"/>
      <c r="J222" s="11"/>
      <c r="K222" s="10"/>
      <c r="L222" s="11"/>
      <c r="M222" s="11"/>
      <c r="N222" s="12"/>
    </row>
    <row r="223" spans="1:14" x14ac:dyDescent="0.4">
      <c r="B223" s="1"/>
      <c r="C223" s="10">
        <f t="shared" si="43"/>
        <v>271.61470362205529</v>
      </c>
      <c r="D223" s="39">
        <f t="shared" si="39"/>
        <v>9959.1473493029571</v>
      </c>
      <c r="E223" s="11">
        <f t="shared" si="42"/>
        <v>271.61470362205529</v>
      </c>
      <c r="F223" s="11"/>
      <c r="G223" s="10"/>
      <c r="H223" s="11"/>
      <c r="I223" s="11"/>
      <c r="J223" s="11"/>
      <c r="K223" s="10"/>
      <c r="L223" s="11"/>
      <c r="M223" s="11"/>
      <c r="N223" s="12"/>
    </row>
    <row r="224" spans="1:14" x14ac:dyDescent="0.4">
      <c r="B224" s="1"/>
      <c r="C224" s="10">
        <f t="shared" si="43"/>
        <v>271.61470362205529</v>
      </c>
      <c r="D224" s="39">
        <f t="shared" si="39"/>
        <v>9719.0666582840604</v>
      </c>
      <c r="E224" s="11">
        <f t="shared" si="42"/>
        <v>271.61470362205529</v>
      </c>
      <c r="F224" s="11"/>
      <c r="G224" s="10"/>
      <c r="H224" s="11"/>
      <c r="I224" s="11"/>
      <c r="J224" s="11"/>
      <c r="K224" s="10"/>
      <c r="L224" s="11"/>
      <c r="M224" s="11"/>
      <c r="N224" s="12"/>
    </row>
    <row r="225" spans="1:14" x14ac:dyDescent="0.4">
      <c r="B225" s="1"/>
      <c r="C225" s="10">
        <f t="shared" si="43"/>
        <v>271.61470362205529</v>
      </c>
      <c r="D225" s="39">
        <f t="shared" si="39"/>
        <v>9478.2044775078375</v>
      </c>
      <c r="E225" s="11">
        <f t="shared" si="42"/>
        <v>271.61470362205529</v>
      </c>
      <c r="F225" s="11"/>
      <c r="G225" s="10"/>
      <c r="H225" s="11"/>
      <c r="I225" s="11"/>
      <c r="J225" s="11"/>
      <c r="K225" s="10"/>
      <c r="L225" s="11"/>
      <c r="M225" s="11"/>
      <c r="N225" s="12"/>
    </row>
    <row r="226" spans="1:14" x14ac:dyDescent="0.4">
      <c r="B226" s="1"/>
      <c r="C226" s="10">
        <f t="shared" si="43"/>
        <v>271.61470362205529</v>
      </c>
      <c r="D226" s="39">
        <f t="shared" si="39"/>
        <v>9236.558263136887</v>
      </c>
      <c r="E226" s="11">
        <f t="shared" si="42"/>
        <v>271.61470362205529</v>
      </c>
      <c r="F226" s="11"/>
      <c r="G226" s="10"/>
      <c r="H226" s="11"/>
      <c r="I226" s="11"/>
      <c r="J226" s="11"/>
      <c r="K226" s="10"/>
      <c r="L226" s="11"/>
      <c r="M226" s="11"/>
      <c r="N226" s="12"/>
    </row>
    <row r="227" spans="1:14" x14ac:dyDescent="0.4">
      <c r="B227" s="1"/>
      <c r="C227" s="10">
        <f t="shared" si="43"/>
        <v>271.61470362205529</v>
      </c>
      <c r="D227" s="39">
        <f t="shared" si="39"/>
        <v>8994.1254630533331</v>
      </c>
      <c r="E227" s="11">
        <f t="shared" si="42"/>
        <v>271.61470362205529</v>
      </c>
      <c r="F227" s="11"/>
      <c r="G227" s="10"/>
      <c r="H227" s="11"/>
      <c r="I227" s="11"/>
      <c r="J227" s="11"/>
      <c r="K227" s="10"/>
      <c r="L227" s="11"/>
      <c r="M227" s="11"/>
      <c r="N227" s="12"/>
    </row>
    <row r="228" spans="1:14" x14ac:dyDescent="0.4">
      <c r="B228" s="1"/>
      <c r="C228" s="10">
        <f t="shared" si="43"/>
        <v>271.61470362205529</v>
      </c>
      <c r="D228" s="39">
        <f t="shared" si="39"/>
        <v>8750.903516831866</v>
      </c>
      <c r="E228" s="11">
        <f t="shared" si="42"/>
        <v>271.61470362205529</v>
      </c>
      <c r="F228" s="11"/>
      <c r="G228" s="10"/>
      <c r="H228" s="11"/>
      <c r="I228" s="11"/>
      <c r="J228" s="11"/>
      <c r="K228" s="10"/>
      <c r="L228" s="11"/>
      <c r="M228" s="11"/>
      <c r="N228" s="12"/>
    </row>
    <row r="229" spans="1:14" x14ac:dyDescent="0.4">
      <c r="B229" s="1"/>
      <c r="C229" s="10">
        <f t="shared" si="43"/>
        <v>271.61470362205529</v>
      </c>
      <c r="D229" s="39">
        <f t="shared" si="39"/>
        <v>8506.8898557127013</v>
      </c>
      <c r="E229" s="11">
        <f t="shared" si="42"/>
        <v>271.61470362205529</v>
      </c>
      <c r="F229" s="11"/>
      <c r="G229" s="10"/>
      <c r="H229" s="11"/>
      <c r="I229" s="11"/>
      <c r="J229" s="11"/>
      <c r="K229" s="10"/>
      <c r="L229" s="11"/>
      <c r="M229" s="11"/>
      <c r="N229" s="12"/>
    </row>
    <row r="230" spans="1:14" x14ac:dyDescent="0.4">
      <c r="B230" s="1"/>
      <c r="C230" s="10">
        <f t="shared" si="43"/>
        <v>271.61470362205529</v>
      </c>
      <c r="D230" s="39">
        <f t="shared" si="39"/>
        <v>8262.0819025744531</v>
      </c>
      <c r="E230" s="11">
        <f t="shared" si="42"/>
        <v>271.61470362205529</v>
      </c>
      <c r="F230" s="11"/>
      <c r="G230" s="10"/>
      <c r="H230" s="11"/>
      <c r="I230" s="11"/>
      <c r="J230" s="11"/>
      <c r="K230" s="10"/>
      <c r="L230" s="11"/>
      <c r="M230" s="11"/>
      <c r="N230" s="12"/>
    </row>
    <row r="231" spans="1:14" x14ac:dyDescent="0.4">
      <c r="A231">
        <f>A219+1</f>
        <v>20</v>
      </c>
      <c r="B231" s="1">
        <f>B219*(1+$P$3)</f>
        <v>65700.705079766631</v>
      </c>
      <c r="C231" s="10">
        <f>MAX(0,MIN((0.1*($B231-1.5*$P$12*(1+$P$18)^(A231-1))/12),$S$11))</f>
        <v>271.61470362205529</v>
      </c>
      <c r="D231" s="39">
        <f t="shared" si="39"/>
        <v>8016.4770719069138</v>
      </c>
      <c r="E231" s="11">
        <f>MAX(IF(D231&gt;0,C231,C231+D231),0)</f>
        <v>271.61470362205529</v>
      </c>
      <c r="F231" s="11">
        <f>E231/(1+$P$15)^A231</f>
        <v>150.3864758760393</v>
      </c>
      <c r="G231" s="10">
        <f>MAX(0,0.1*($B231-1.5*$P$12*(1+$P$18)^(A231-1)))</f>
        <v>3678.1123221373209</v>
      </c>
      <c r="H231" s="11">
        <f>H219*(1+$S$5)-G231</f>
        <v>-45924.690804003068</v>
      </c>
      <c r="I231" s="11">
        <f t="shared" si="13"/>
        <v>0</v>
      </c>
      <c r="J231" s="11">
        <f>I231/(1+$P$15)^A231</f>
        <v>0</v>
      </c>
      <c r="K231" s="10">
        <f>MAX(25*12,0.15*($B231-1.5*$P$12*(1+$P$18)^(A231-1)))</f>
        <v>5517.1684832059809</v>
      </c>
      <c r="L231" s="11">
        <f>L219*(1+$S$5)-K231</f>
        <v>-68887.036206004603</v>
      </c>
      <c r="M231" s="11">
        <f>IF(AND(SUM($K$3:K231)&gt;=$S$12,SUM($M$3:M219)&lt;$S$12),$S$12-SUM($M$3:M219),IF(AND(SUM($K$3:K219)&gt;=$S$12,SUM($M$3:M219)=$S$12),0,K231))</f>
        <v>0</v>
      </c>
      <c r="N231" s="12">
        <f>M231/(1+$P$15)^A231</f>
        <v>0</v>
      </c>
    </row>
    <row r="232" spans="1:14" x14ac:dyDescent="0.4">
      <c r="B232" s="1"/>
      <c r="C232" s="10">
        <f>C231</f>
        <v>271.61470362205529</v>
      </c>
      <c r="D232" s="39">
        <f t="shared" si="39"/>
        <v>7770.0727697837483</v>
      </c>
      <c r="E232" s="11">
        <f t="shared" ref="E232:E242" si="44">MAX(IF(D232&gt;0,C232,C232+D232),0)</f>
        <v>271.61470362205529</v>
      </c>
      <c r="F232" s="11"/>
      <c r="G232" s="10"/>
      <c r="H232" s="11"/>
      <c r="I232" s="11"/>
      <c r="J232" s="11"/>
      <c r="K232" s="10"/>
      <c r="L232" s="11"/>
      <c r="M232" s="11"/>
      <c r="N232" s="12"/>
    </row>
    <row r="233" spans="1:14" x14ac:dyDescent="0.4">
      <c r="B233" s="1"/>
      <c r="C233" s="10">
        <f t="shared" ref="C233:C242" si="45">C232</f>
        <v>271.61470362205529</v>
      </c>
      <c r="D233" s="39">
        <f t="shared" si="39"/>
        <v>7522.8663938350992</v>
      </c>
      <c r="E233" s="11">
        <f t="shared" si="44"/>
        <v>271.61470362205529</v>
      </c>
      <c r="F233" s="11"/>
      <c r="G233" s="10"/>
      <c r="H233" s="11"/>
      <c r="I233" s="11"/>
      <c r="J233" s="11"/>
      <c r="K233" s="10"/>
      <c r="L233" s="11"/>
      <c r="M233" s="11"/>
      <c r="N233" s="12"/>
    </row>
    <row r="234" spans="1:14" x14ac:dyDescent="0.4">
      <c r="B234" s="1"/>
      <c r="C234" s="10">
        <f t="shared" si="45"/>
        <v>271.61470362205529</v>
      </c>
      <c r="D234" s="39">
        <f t="shared" si="39"/>
        <v>7274.8553332201</v>
      </c>
      <c r="E234" s="11">
        <f t="shared" si="44"/>
        <v>271.61470362205529</v>
      </c>
      <c r="F234" s="11"/>
      <c r="G234" s="10"/>
      <c r="H234" s="11"/>
      <c r="I234" s="11"/>
      <c r="J234" s="11"/>
      <c r="K234" s="10"/>
      <c r="L234" s="11"/>
      <c r="M234" s="11"/>
      <c r="N234" s="12"/>
    </row>
    <row r="235" spans="1:14" x14ac:dyDescent="0.4">
      <c r="B235" s="1"/>
      <c r="C235" s="10">
        <f t="shared" si="45"/>
        <v>271.61470362205529</v>
      </c>
      <c r="D235" s="39">
        <f t="shared" si="39"/>
        <v>7026.0369685993028</v>
      </c>
      <c r="E235" s="11">
        <f t="shared" si="44"/>
        <v>271.61470362205529</v>
      </c>
      <c r="F235" s="11"/>
      <c r="G235" s="10"/>
      <c r="H235" s="11"/>
      <c r="I235" s="11"/>
      <c r="J235" s="11"/>
      <c r="K235" s="10"/>
      <c r="L235" s="11"/>
      <c r="M235" s="11"/>
      <c r="N235" s="12"/>
    </row>
    <row r="236" spans="1:14" x14ac:dyDescent="0.4">
      <c r="B236" s="1"/>
      <c r="C236" s="10">
        <f t="shared" si="45"/>
        <v>271.61470362205529</v>
      </c>
      <c r="D236" s="39">
        <f t="shared" si="39"/>
        <v>6776.4086721070144</v>
      </c>
      <c r="E236" s="11">
        <f t="shared" si="44"/>
        <v>271.61470362205529</v>
      </c>
      <c r="F236" s="11"/>
      <c r="G236" s="10"/>
      <c r="H236" s="11"/>
      <c r="I236" s="11"/>
      <c r="J236" s="11"/>
      <c r="K236" s="10"/>
      <c r="L236" s="11"/>
      <c r="M236" s="11"/>
      <c r="N236" s="12"/>
    </row>
    <row r="237" spans="1:14" x14ac:dyDescent="0.4">
      <c r="B237" s="1"/>
      <c r="C237" s="10">
        <f t="shared" si="45"/>
        <v>271.61470362205529</v>
      </c>
      <c r="D237" s="39">
        <f t="shared" si="39"/>
        <v>6525.9678073235418</v>
      </c>
      <c r="E237" s="11">
        <f t="shared" si="44"/>
        <v>271.61470362205529</v>
      </c>
      <c r="F237" s="11"/>
      <c r="G237" s="10"/>
      <c r="H237" s="11"/>
      <c r="I237" s="11"/>
      <c r="J237" s="11"/>
      <c r="K237" s="10"/>
      <c r="L237" s="11"/>
      <c r="M237" s="11"/>
      <c r="N237" s="12"/>
    </row>
    <row r="238" spans="1:14" x14ac:dyDescent="0.4">
      <c r="B238" s="1"/>
      <c r="C238" s="10">
        <f t="shared" si="45"/>
        <v>271.61470362205529</v>
      </c>
      <c r="D238" s="39">
        <f t="shared" si="39"/>
        <v>6274.7117292473476</v>
      </c>
      <c r="E238" s="11">
        <f t="shared" si="44"/>
        <v>271.61470362205529</v>
      </c>
      <c r="F238" s="11"/>
      <c r="G238" s="10"/>
      <c r="H238" s="11"/>
      <c r="I238" s="11"/>
      <c r="J238" s="11"/>
      <c r="K238" s="10"/>
      <c r="L238" s="11"/>
      <c r="M238" s="11"/>
      <c r="N238" s="12"/>
    </row>
    <row r="239" spans="1:14" x14ac:dyDescent="0.4">
      <c r="B239" s="1"/>
      <c r="C239" s="10">
        <f t="shared" si="45"/>
        <v>271.61470362205529</v>
      </c>
      <c r="D239" s="39">
        <f t="shared" si="39"/>
        <v>6022.6377842671172</v>
      </c>
      <c r="E239" s="11">
        <f t="shared" si="44"/>
        <v>271.61470362205529</v>
      </c>
      <c r="F239" s="11"/>
      <c r="G239" s="10"/>
      <c r="H239" s="11"/>
      <c r="I239" s="11"/>
      <c r="J239" s="11"/>
      <c r="K239" s="10"/>
      <c r="L239" s="11"/>
      <c r="M239" s="11"/>
      <c r="N239" s="12"/>
    </row>
    <row r="240" spans="1:14" x14ac:dyDescent="0.4">
      <c r="B240" s="1"/>
      <c r="C240" s="10">
        <f t="shared" si="45"/>
        <v>271.61470362205529</v>
      </c>
      <c r="D240" s="39">
        <f t="shared" si="39"/>
        <v>5769.7433101337301</v>
      </c>
      <c r="E240" s="11">
        <f t="shared" si="44"/>
        <v>271.61470362205529</v>
      </c>
      <c r="F240" s="11"/>
      <c r="G240" s="10"/>
      <c r="H240" s="11"/>
      <c r="I240" s="11"/>
      <c r="J240" s="11"/>
      <c r="K240" s="10"/>
      <c r="L240" s="11"/>
      <c r="M240" s="11"/>
      <c r="N240" s="12"/>
    </row>
    <row r="241" spans="1:14" x14ac:dyDescent="0.4">
      <c r="B241" s="1"/>
      <c r="C241" s="10">
        <f t="shared" si="45"/>
        <v>271.61470362205529</v>
      </c>
      <c r="D241" s="39">
        <f t="shared" si="39"/>
        <v>5516.0256359321456</v>
      </c>
      <c r="E241" s="11">
        <f t="shared" si="44"/>
        <v>271.61470362205529</v>
      </c>
      <c r="F241" s="11"/>
      <c r="G241" s="10"/>
      <c r="H241" s="11"/>
      <c r="I241" s="11"/>
      <c r="J241" s="11"/>
      <c r="K241" s="10"/>
      <c r="L241" s="11"/>
      <c r="M241" s="11"/>
      <c r="N241" s="12"/>
    </row>
    <row r="242" spans="1:14" x14ac:dyDescent="0.4">
      <c r="B242" s="1"/>
      <c r="C242" s="10">
        <f t="shared" si="45"/>
        <v>271.61470362205529</v>
      </c>
      <c r="D242" s="39">
        <f t="shared" si="39"/>
        <v>5261.4820820531922</v>
      </c>
      <c r="E242" s="11">
        <f t="shared" si="44"/>
        <v>271.61470362205529</v>
      </c>
      <c r="F242" s="11"/>
      <c r="G242" s="10"/>
      <c r="H242" s="11"/>
      <c r="I242" s="11"/>
      <c r="J242" s="11"/>
      <c r="K242" s="10"/>
      <c r="L242" s="11"/>
      <c r="M242" s="11"/>
      <c r="N242" s="12"/>
    </row>
    <row r="243" spans="1:14" x14ac:dyDescent="0.4">
      <c r="A243">
        <f>A231+1</f>
        <v>21</v>
      </c>
      <c r="B243" s="1">
        <f>B231*(1+$P$3)</f>
        <v>68985.740333754962</v>
      </c>
      <c r="C243" s="10"/>
      <c r="D243" s="11"/>
      <c r="E243" s="11"/>
      <c r="F243" s="11"/>
      <c r="G243" s="10" t="str">
        <f>IF($P$21=0,"",MAX(0,0.1*($B243-1.5*$P$12*(1+$P$18)^(A243-1))))</f>
        <v/>
      </c>
      <c r="H243" s="11" t="str">
        <f>IF(G243="","",H231*(1+$S$5)-G243)</f>
        <v/>
      </c>
      <c r="I243" s="11">
        <f t="shared" si="13"/>
        <v>0</v>
      </c>
      <c r="J243" s="11">
        <f>I243/(1+$P$15)^A243</f>
        <v>0</v>
      </c>
      <c r="K243" s="10">
        <f t="shared" ref="K243:K262" si="46">MAX(25*12,0.15*($B243-1.5*$P$12*(1+$P$18)^(A243-1)))</f>
        <v>5901.4753393352557</v>
      </c>
      <c r="L243" s="11">
        <f>L231*(1+$S$5)-K243</f>
        <v>-77475.105957374035</v>
      </c>
      <c r="M243" s="11">
        <f>IF(AND(SUM($K$3:K243)&gt;=$S$12,SUM($M$3:M231)&lt;$S$12),$S$12-SUM($M$3:M231),IF(AND(SUM($K$3:K231)&gt;=$S$12,SUM($M$3:M231)=$S$12),0,K243))</f>
        <v>0</v>
      </c>
      <c r="N243" s="12">
        <f t="shared" ref="N243:N262" si="47">M243/(1+$P$15)^A243</f>
        <v>0</v>
      </c>
    </row>
    <row r="244" spans="1:14" x14ac:dyDescent="0.4">
      <c r="A244">
        <f t="shared" ref="A244:A262" si="48">A243+1</f>
        <v>22</v>
      </c>
      <c r="B244" s="1">
        <f t="shared" ref="B244:B262" si="49">B243*(1+$P$3)</f>
        <v>72435.027350442717</v>
      </c>
      <c r="C244" s="10"/>
      <c r="D244" s="11"/>
      <c r="E244" s="11"/>
      <c r="F244" s="11"/>
      <c r="G244" s="10" t="str">
        <f>IF($P$21=0,"",MAX(0,0.1*($B244-1.5*$P$12*(1+$P$18)^(A244-1))))</f>
        <v/>
      </c>
      <c r="H244" s="11" t="str">
        <f t="shared" ref="H244:H247" si="50">IF(G244="","",H243*(1+$S$5)-G244)</f>
        <v/>
      </c>
      <c r="I244" s="11">
        <f t="shared" si="13"/>
        <v>0</v>
      </c>
      <c r="J244" s="11">
        <f>I244/(1+$P$15)^A244</f>
        <v>0</v>
      </c>
      <c r="K244" s="10">
        <f t="shared" si="46"/>
        <v>6307.7087490702188</v>
      </c>
      <c r="L244" s="11">
        <f t="shared" ref="L244:L262" si="51">L243*(1+$S$5)-K244</f>
        <v>-86804.343838781846</v>
      </c>
      <c r="M244" s="11">
        <f>IF(AND(SUM($K$3:K244)&gt;=$S$12,SUM($M$3:M243)&lt;$S$12),$S$12-SUM($M$3:M243),IF(AND(SUM($K$3:K243)&gt;=$S$12,SUM($M$3:M243)=$S$12),0,K244))</f>
        <v>0</v>
      </c>
      <c r="N244" s="12">
        <f t="shared" si="47"/>
        <v>0</v>
      </c>
    </row>
    <row r="245" spans="1:14" x14ac:dyDescent="0.4">
      <c r="A245">
        <f t="shared" si="48"/>
        <v>23</v>
      </c>
      <c r="B245" s="1">
        <f t="shared" si="49"/>
        <v>76056.778717964859</v>
      </c>
      <c r="C245" s="10"/>
      <c r="D245" s="11"/>
      <c r="E245" s="11"/>
      <c r="F245" s="11"/>
      <c r="G245" s="10" t="str">
        <f>IF($P$21=0,"",MAX(0,0.1*($B245-1.5*$P$12*(1+$P$18)^(A245-1))))</f>
        <v/>
      </c>
      <c r="H245" s="11" t="str">
        <f t="shared" si="50"/>
        <v/>
      </c>
      <c r="I245" s="11">
        <f t="shared" si="13"/>
        <v>0</v>
      </c>
      <c r="J245" s="11">
        <f>I245/(1+$P$15)^A245</f>
        <v>0</v>
      </c>
      <c r="K245" s="10">
        <f t="shared" si="46"/>
        <v>6737.0328203611371</v>
      </c>
      <c r="L245" s="11">
        <f t="shared" si="51"/>
        <v>-96926.746068855471</v>
      </c>
      <c r="M245" s="11">
        <f>IF(AND(SUM($K$3:K245)&gt;=$S$12,SUM($M$3:M244)&lt;$S$12),$S$12-SUM($M$3:M244),IF(AND(SUM($K$3:K244)&gt;=$S$12,SUM($M$3:M244)=$S$12),0,K245))</f>
        <v>0</v>
      </c>
      <c r="N245" s="12">
        <f t="shared" si="47"/>
        <v>0</v>
      </c>
    </row>
    <row r="246" spans="1:14" x14ac:dyDescent="0.4">
      <c r="A246">
        <f t="shared" si="48"/>
        <v>24</v>
      </c>
      <c r="B246" s="1">
        <f t="shared" si="49"/>
        <v>79859.617653863112</v>
      </c>
      <c r="C246" s="10"/>
      <c r="D246" s="11"/>
      <c r="E246" s="11"/>
      <c r="F246" s="11"/>
      <c r="G246" s="10" t="str">
        <f>IF($P$21=0,"",MAX(0,0.1*($B246-1.5*$P$12*(1+$P$18)^(A246-1))))</f>
        <v/>
      </c>
      <c r="H246" s="11" t="str">
        <f t="shared" si="50"/>
        <v/>
      </c>
      <c r="I246" s="11">
        <f t="shared" si="13"/>
        <v>0</v>
      </c>
      <c r="J246" s="11">
        <f>I246/(1+$P$15)^A246</f>
        <v>0</v>
      </c>
      <c r="K246" s="10">
        <f t="shared" si="46"/>
        <v>7190.6715610625351</v>
      </c>
      <c r="L246" s="11">
        <f t="shared" si="51"/>
        <v>-107897.56072660336</v>
      </c>
      <c r="M246" s="11">
        <f>IF(AND(SUM($K$3:K246)&gt;=$S$12,SUM($M$3:M245)&lt;$S$12),$S$12-SUM($M$3:M245),IF(AND(SUM($K$3:K245)&gt;=$S$12,SUM($M$3:M245)=$S$12),0,K246))</f>
        <v>0</v>
      </c>
      <c r="N246" s="12">
        <f t="shared" si="47"/>
        <v>0</v>
      </c>
    </row>
    <row r="247" spans="1:14" x14ac:dyDescent="0.4">
      <c r="A247">
        <f t="shared" si="48"/>
        <v>25</v>
      </c>
      <c r="B247" s="1">
        <f t="shared" si="49"/>
        <v>83852.598536556266</v>
      </c>
      <c r="C247" s="10"/>
      <c r="D247" s="11"/>
      <c r="E247" s="11"/>
      <c r="F247" s="11"/>
      <c r="G247" s="10" t="str">
        <f>IF($P$21=0,"",MAX(0,0.1*($B247-1.5*$P$12*(1+$P$18)^(A247-1))))</f>
        <v/>
      </c>
      <c r="H247" s="11" t="str">
        <f t="shared" si="50"/>
        <v/>
      </c>
      <c r="I247" s="11">
        <f t="shared" si="13"/>
        <v>0</v>
      </c>
      <c r="J247" s="11">
        <f>I247/(1+$P$15)^A247</f>
        <v>0</v>
      </c>
      <c r="K247" s="10">
        <f t="shared" si="46"/>
        <v>7669.9119162910838</v>
      </c>
      <c r="L247" s="11">
        <f t="shared" si="51"/>
        <v>-119775.47751123196</v>
      </c>
      <c r="M247" s="11">
        <f>IF(AND(SUM($K$3:K247)&gt;=$S$12,SUM($M$3:M246)&lt;$S$12),$S$12-SUM($M$3:M246),IF(AND(SUM($K$3:K246)&gt;=$S$12,SUM($M$3:M246)=$S$12),0,K247))</f>
        <v>0</v>
      </c>
      <c r="N247" s="12">
        <f t="shared" si="47"/>
        <v>0</v>
      </c>
    </row>
    <row r="248" spans="1:14" x14ac:dyDescent="0.4">
      <c r="A248">
        <f t="shared" si="48"/>
        <v>26</v>
      </c>
      <c r="B248" s="1">
        <f t="shared" si="49"/>
        <v>88045.22846338409</v>
      </c>
      <c r="C248" s="10"/>
      <c r="D248" s="11"/>
      <c r="E248" s="11"/>
      <c r="F248" s="11"/>
      <c r="G248" s="10" t="str">
        <f>IF(P26=0,"",MAX(0,0.1*($B248-1.5*$P$12*(1+$P$18)^(A248-1))))</f>
        <v/>
      </c>
      <c r="H248" s="11"/>
      <c r="I248" s="11"/>
      <c r="J248" s="11"/>
      <c r="K248" s="10">
        <f t="shared" si="46"/>
        <v>8176.1069587104494</v>
      </c>
      <c r="L248" s="11">
        <f t="shared" si="51"/>
        <v>-132622.82809288046</v>
      </c>
      <c r="M248" s="11">
        <f>IF(AND(SUM($K$3:K248)&gt;=$S$12,SUM($M$3:M247)&lt;$S$12),$S$12-SUM($M$3:M247),IF(AND(SUM($K$3:K247)&gt;=$S$12,SUM($M$3:M247)=$S$12),0,K248))</f>
        <v>0</v>
      </c>
      <c r="N248" s="12">
        <f t="shared" si="47"/>
        <v>0</v>
      </c>
    </row>
    <row r="249" spans="1:14" x14ac:dyDescent="0.4">
      <c r="A249">
        <f t="shared" si="48"/>
        <v>27</v>
      </c>
      <c r="B249" s="1">
        <f t="shared" si="49"/>
        <v>92447.489886553303</v>
      </c>
      <c r="C249" s="10"/>
      <c r="D249" s="11"/>
      <c r="E249" s="11"/>
      <c r="F249" s="11"/>
      <c r="G249" s="10"/>
      <c r="H249" s="11"/>
      <c r="I249" s="11"/>
      <c r="J249" s="11"/>
      <c r="K249" s="10">
        <f t="shared" si="46"/>
        <v>8710.6792394159038</v>
      </c>
      <c r="L249" s="11">
        <f t="shared" si="51"/>
        <v>-146505.79762791871</v>
      </c>
      <c r="M249" s="11">
        <f>IF(AND(SUM($K$3:K249)&gt;=$S$12,SUM($M$3:M248)&lt;$S$12),$S$12-SUM($M$3:M248),IF(AND(SUM($K$3:K248)&gt;=$S$12,SUM($M$3:M248)=$S$12),0,K249))</f>
        <v>0</v>
      </c>
      <c r="N249" s="12">
        <f t="shared" si="47"/>
        <v>0</v>
      </c>
    </row>
    <row r="250" spans="1:14" x14ac:dyDescent="0.4">
      <c r="A250">
        <f t="shared" si="48"/>
        <v>28</v>
      </c>
      <c r="B250" s="1">
        <f t="shared" si="49"/>
        <v>97069.864380880972</v>
      </c>
      <c r="C250" s="10"/>
      <c r="D250" s="11"/>
      <c r="E250" s="11"/>
      <c r="F250" s="11"/>
      <c r="G250" s="10"/>
      <c r="H250" s="11"/>
      <c r="I250" s="11"/>
      <c r="J250" s="11"/>
      <c r="K250" s="10">
        <f t="shared" si="46"/>
        <v>9275.1243074758768</v>
      </c>
      <c r="L250" s="11">
        <f t="shared" si="51"/>
        <v>-161494.6480428834</v>
      </c>
      <c r="M250" s="11">
        <f>IF(AND(SUM($K$3:K250)&gt;=$S$12,SUM($M$3:M249)&lt;$S$12),$S$12-SUM($M$3:M249),IF(AND(SUM($K$3:K249)&gt;=$S$12,SUM($M$3:M249)=$S$12),0,K250))</f>
        <v>0</v>
      </c>
      <c r="N250" s="12">
        <f t="shared" si="47"/>
        <v>0</v>
      </c>
    </row>
    <row r="251" spans="1:14" x14ac:dyDescent="0.4">
      <c r="A251">
        <f t="shared" si="48"/>
        <v>29</v>
      </c>
      <c r="B251" s="1">
        <f t="shared" si="49"/>
        <v>101923.35759992503</v>
      </c>
      <c r="C251" s="13"/>
      <c r="D251" s="11"/>
      <c r="E251" s="26"/>
      <c r="F251" s="26"/>
      <c r="G251" s="10"/>
      <c r="H251" s="11"/>
      <c r="I251" s="11"/>
      <c r="J251" s="11"/>
      <c r="K251" s="10">
        <f t="shared" si="46"/>
        <v>9871.0144065910808</v>
      </c>
      <c r="L251" s="11">
        <f t="shared" si="51"/>
        <v>-177663.95372314693</v>
      </c>
      <c r="M251" s="11">
        <f>IF(AND(SUM($K$3:K251)&gt;=$S$12,SUM($M$3:M250)&lt;$S$12),$S$12-SUM($M$3:M250),IF(AND(SUM($K$3:K250)&gt;=$S$12,SUM($M$3:M250)=$S$12),0,K251))</f>
        <v>0</v>
      </c>
      <c r="N251" s="12">
        <f t="shared" si="47"/>
        <v>0</v>
      </c>
    </row>
    <row r="252" spans="1:14" x14ac:dyDescent="0.4">
      <c r="A252">
        <f t="shared" si="48"/>
        <v>30</v>
      </c>
      <c r="B252" s="1">
        <f t="shared" si="49"/>
        <v>107019.52547992129</v>
      </c>
      <c r="C252" s="13"/>
      <c r="D252" s="11"/>
      <c r="E252" s="26"/>
      <c r="F252" s="26"/>
      <c r="G252" s="10"/>
      <c r="H252" s="11"/>
      <c r="I252" s="11"/>
      <c r="J252" s="11"/>
      <c r="K252" s="10">
        <f t="shared" si="46"/>
        <v>10500.002357755575</v>
      </c>
      <c r="L252" s="11">
        <f t="shared" si="51"/>
        <v>-195092.85027610522</v>
      </c>
      <c r="M252" s="11">
        <f>IF(AND(SUM($K$3:K252)&gt;=$S$12,SUM($M$3:M251)&lt;$S$12),$S$12-SUM($M$3:M251),IF(AND(SUM($K$3:K251)&gt;=$S$12,SUM($M$3:M251)=$S$12),0,K252))</f>
        <v>0</v>
      </c>
      <c r="N252" s="12">
        <f t="shared" si="47"/>
        <v>0</v>
      </c>
    </row>
    <row r="253" spans="1:14" x14ac:dyDescent="0.4">
      <c r="A253">
        <f t="shared" si="48"/>
        <v>31</v>
      </c>
      <c r="B253" s="1">
        <f t="shared" si="49"/>
        <v>112370.50175391736</v>
      </c>
      <c r="C253" s="13"/>
      <c r="D253" s="11"/>
      <c r="E253" s="26"/>
      <c r="F253" s="26"/>
      <c r="G253" s="10"/>
      <c r="H253" s="11"/>
      <c r="I253" s="11"/>
      <c r="J253" s="11"/>
      <c r="K253" s="10">
        <f t="shared" si="46"/>
        <v>11163.825637249171</v>
      </c>
      <c r="L253" s="11">
        <f t="shared" si="51"/>
        <v>-213865.29707412247</v>
      </c>
      <c r="M253" s="11">
        <f>IF(AND(SUM($K$3:K253)&gt;=$S$12,SUM($M$3:M252)&lt;$S$12),$S$12-SUM($M$3:M252),IF(AND(SUM($K$3:K252)&gt;=$S$12,SUM($M$3:M252)=$S$12),0,K253))</f>
        <v>0</v>
      </c>
      <c r="N253" s="12">
        <f t="shared" si="47"/>
        <v>0</v>
      </c>
    </row>
    <row r="254" spans="1:14" x14ac:dyDescent="0.4">
      <c r="A254">
        <f t="shared" si="48"/>
        <v>32</v>
      </c>
      <c r="B254" s="1">
        <f t="shared" si="49"/>
        <v>117989.02684161323</v>
      </c>
      <c r="C254" s="13"/>
      <c r="D254" s="11"/>
      <c r="E254" s="26"/>
      <c r="F254" s="26"/>
      <c r="G254" s="10"/>
      <c r="H254" s="11"/>
      <c r="I254" s="11"/>
      <c r="J254" s="11"/>
      <c r="K254" s="10">
        <f t="shared" si="46"/>
        <v>11864.31065975759</v>
      </c>
      <c r="L254" s="11">
        <f t="shared" si="51"/>
        <v>-234070.35431977082</v>
      </c>
      <c r="M254" s="11">
        <f>IF(AND(SUM($K$3:K254)&gt;=$S$12,SUM($M$3:M253)&lt;$S$12),$S$12-SUM($M$3:M253),IF(AND(SUM($K$3:K253)&gt;=$S$12,SUM($M$3:M253)=$S$12),0,K254))</f>
        <v>0</v>
      </c>
      <c r="N254" s="12">
        <f t="shared" si="47"/>
        <v>0</v>
      </c>
    </row>
    <row r="255" spans="1:14" x14ac:dyDescent="0.4">
      <c r="A255">
        <f t="shared" si="48"/>
        <v>33</v>
      </c>
      <c r="B255" s="1">
        <f t="shared" si="49"/>
        <v>123888.47818369389</v>
      </c>
      <c r="C255" s="13"/>
      <c r="D255" s="11"/>
      <c r="E255" s="26"/>
      <c r="F255" s="26"/>
      <c r="G255" s="10"/>
      <c r="H255" s="11"/>
      <c r="I255" s="11"/>
      <c r="J255" s="11"/>
      <c r="K255" s="10">
        <f t="shared" si="46"/>
        <v>12603.37727690758</v>
      </c>
      <c r="L255" s="11">
        <f t="shared" si="51"/>
        <v>-255802.47541514944</v>
      </c>
      <c r="M255" s="11">
        <f>IF(AND(SUM($K$3:K255)&gt;=$S$12,SUM($M$3:M254)&lt;$S$12),$S$12-SUM($M$3:M254),IF(AND(SUM($K$3:K254)&gt;=$S$12,SUM($M$3:M254)=$S$12),0,K255))</f>
        <v>0</v>
      </c>
      <c r="N255" s="12">
        <f t="shared" si="47"/>
        <v>0</v>
      </c>
    </row>
    <row r="256" spans="1:14" x14ac:dyDescent="0.4">
      <c r="A256">
        <f t="shared" si="48"/>
        <v>34</v>
      </c>
      <c r="B256" s="1">
        <f t="shared" si="49"/>
        <v>130082.90209287859</v>
      </c>
      <c r="C256" s="13"/>
      <c r="D256" s="11"/>
      <c r="E256" s="26"/>
      <c r="F256" s="26"/>
      <c r="G256" s="10"/>
      <c r="H256" s="11"/>
      <c r="I256" s="11"/>
      <c r="J256" s="11"/>
      <c r="K256" s="10">
        <f t="shared" si="46"/>
        <v>13383.043502019123</v>
      </c>
      <c r="L256" s="11">
        <f t="shared" si="51"/>
        <v>-279161.81545835937</v>
      </c>
      <c r="M256" s="11">
        <f>IF(AND(SUM($K$3:K256)&gt;=$S$12,SUM($M$3:M255)&lt;$S$12),$S$12-SUM($M$3:M255),IF(AND(SUM($K$3:K255)&gt;=$S$12,SUM($M$3:M255)=$S$12),0,K256))</f>
        <v>0</v>
      </c>
      <c r="N256" s="12">
        <f t="shared" si="47"/>
        <v>0</v>
      </c>
    </row>
    <row r="257" spans="1:14" x14ac:dyDescent="0.4">
      <c r="A257">
        <f t="shared" si="48"/>
        <v>35</v>
      </c>
      <c r="B257" s="1">
        <f t="shared" si="49"/>
        <v>136587.04719752254</v>
      </c>
      <c r="C257" s="13"/>
      <c r="D257" s="11"/>
      <c r="E257" s="26"/>
      <c r="F257" s="26"/>
      <c r="G257" s="10"/>
      <c r="H257" s="11"/>
      <c r="I257" s="11"/>
      <c r="J257" s="11"/>
      <c r="K257" s="10">
        <f t="shared" si="46"/>
        <v>14205.430472417896</v>
      </c>
      <c r="L257" s="11">
        <f t="shared" si="51"/>
        <v>-304254.5567336533</v>
      </c>
      <c r="M257" s="11">
        <f>IF(AND(SUM($K$3:K257)&gt;=$S$12,SUM($M$3:M256)&lt;$S$12),$S$12-SUM($M$3:M256),IF(AND(SUM($K$3:K256)&gt;=$S$12,SUM($M$3:M256)=$S$12),0,K257))</f>
        <v>0</v>
      </c>
      <c r="N257" s="12">
        <f t="shared" si="47"/>
        <v>0</v>
      </c>
    </row>
    <row r="258" spans="1:14" x14ac:dyDescent="0.4">
      <c r="A258">
        <f t="shared" si="48"/>
        <v>36</v>
      </c>
      <c r="B258" s="1">
        <f t="shared" si="49"/>
        <v>143416.39955739866</v>
      </c>
      <c r="C258" s="13"/>
      <c r="D258" s="11"/>
      <c r="E258" s="26"/>
      <c r="F258" s="26"/>
      <c r="G258" s="10"/>
      <c r="H258" s="11"/>
      <c r="I258" s="11"/>
      <c r="J258" s="11"/>
      <c r="K258" s="10">
        <f t="shared" si="46"/>
        <v>15072.767661219055</v>
      </c>
      <c r="L258" s="11">
        <f t="shared" si="51"/>
        <v>-331193.25210748479</v>
      </c>
      <c r="M258" s="11">
        <f>IF(AND(SUM($K$3:K258)&gt;=$S$12,SUM($M$3:M257)&lt;$S$12),$S$12-SUM($M$3:M257),IF(AND(SUM($K$3:K257)&gt;=$S$12,SUM($M$3:M257)=$S$12),0,K258))</f>
        <v>0</v>
      </c>
      <c r="N258" s="12">
        <f t="shared" si="47"/>
        <v>0</v>
      </c>
    </row>
    <row r="259" spans="1:14" x14ac:dyDescent="0.4">
      <c r="A259">
        <f t="shared" si="48"/>
        <v>37</v>
      </c>
      <c r="B259" s="1">
        <f t="shared" si="49"/>
        <v>150587.21953526861</v>
      </c>
      <c r="C259" s="13"/>
      <c r="D259" s="11"/>
      <c r="E259" s="26"/>
      <c r="F259" s="26"/>
      <c r="G259" s="10"/>
      <c r="H259" s="11"/>
      <c r="I259" s="11"/>
      <c r="J259" s="11"/>
      <c r="K259" s="10">
        <f t="shared" si="46"/>
        <v>15987.398351089778</v>
      </c>
      <c r="L259" s="11">
        <f t="shared" si="51"/>
        <v>-360097.18729076645</v>
      </c>
      <c r="M259" s="11">
        <f>IF(AND(SUM($K$3:K259)&gt;=$S$12,SUM($M$3:M258)&lt;$S$12),$S$12-SUM($M$3:M258),IF(AND(SUM($K$3:K258)&gt;=$S$12,SUM($M$3:M258)=$S$12),0,K259))</f>
        <v>0</v>
      </c>
      <c r="N259" s="12">
        <f t="shared" si="47"/>
        <v>0</v>
      </c>
    </row>
    <row r="260" spans="1:14" x14ac:dyDescent="0.4">
      <c r="A260">
        <f t="shared" si="48"/>
        <v>38</v>
      </c>
      <c r="B260" s="1">
        <f t="shared" si="49"/>
        <v>158116.58051203206</v>
      </c>
      <c r="C260" s="13"/>
      <c r="D260" s="11"/>
      <c r="E260" s="26"/>
      <c r="F260" s="26"/>
      <c r="G260" s="10"/>
      <c r="H260" s="11"/>
      <c r="I260" s="11"/>
      <c r="J260" s="11"/>
      <c r="K260" s="10">
        <f t="shared" si="46"/>
        <v>16951.785383124286</v>
      </c>
      <c r="L260" s="11">
        <f t="shared" si="51"/>
        <v>-391092.7629782306</v>
      </c>
      <c r="M260" s="11">
        <f>IF(AND(SUM($K$3:K260)&gt;=$S$12,SUM($M$3:M259)&lt;$S$12),$S$12-SUM($M$3:M259),IF(AND(SUM($K$3:K259)&gt;=$S$12,SUM($M$3:M259)=$S$12),0,K260))</f>
        <v>0</v>
      </c>
      <c r="N260" s="12">
        <f t="shared" si="47"/>
        <v>0</v>
      </c>
    </row>
    <row r="261" spans="1:14" x14ac:dyDescent="0.4">
      <c r="A261">
        <f t="shared" si="48"/>
        <v>39</v>
      </c>
      <c r="B261" s="1">
        <f t="shared" si="49"/>
        <v>166022.40953763368</v>
      </c>
      <c r="C261" s="13"/>
      <c r="D261" s="11"/>
      <c r="E261" s="26"/>
      <c r="F261" s="26"/>
      <c r="G261" s="10"/>
      <c r="H261" s="11"/>
      <c r="I261" s="11"/>
      <c r="J261" s="11"/>
      <c r="K261" s="10">
        <f t="shared" si="46"/>
        <v>17968.517194622513</v>
      </c>
      <c r="L261" s="11">
        <f t="shared" si="51"/>
        <v>-424313.89792900404</v>
      </c>
      <c r="M261" s="11">
        <f>IF(AND(SUM($K$3:K261)&gt;=$S$12,SUM($M$3:M260)&lt;$S$12),$S$12-SUM($M$3:M260),IF(AND(SUM($K$3:K260)&gt;=$S$12,SUM($M$3:M260)=$S$12),0,K261))</f>
        <v>0</v>
      </c>
      <c r="N261" s="12">
        <f t="shared" si="47"/>
        <v>0</v>
      </c>
    </row>
    <row r="262" spans="1:14" x14ac:dyDescent="0.4">
      <c r="A262">
        <f t="shared" si="48"/>
        <v>40</v>
      </c>
      <c r="B262" s="1">
        <f t="shared" si="49"/>
        <v>174323.53001451536</v>
      </c>
      <c r="C262" s="15"/>
      <c r="D262" s="16"/>
      <c r="E262" s="27"/>
      <c r="F262" s="27"/>
      <c r="G262" s="23"/>
      <c r="H262" s="16"/>
      <c r="I262" s="16"/>
      <c r="J262" s="16"/>
      <c r="K262" s="23">
        <f t="shared" si="46"/>
        <v>19040.314160254205</v>
      </c>
      <c r="L262" s="16">
        <f t="shared" si="51"/>
        <v>-459902.45410848939</v>
      </c>
      <c r="M262" s="16">
        <f>IF(AND(SUM($K$3:K262)&gt;=$S$12,SUM($M$3:M261)&lt;$S$12),$S$12-SUM($M$3:M261),IF(AND(SUM($K$3:K261)&gt;=$S$12,SUM($M$3:M261)=$S$12),0,K262))</f>
        <v>0</v>
      </c>
      <c r="N262" s="20">
        <f t="shared" si="47"/>
        <v>0</v>
      </c>
    </row>
    <row r="263" spans="1:14" x14ac:dyDescent="0.4">
      <c r="D263" s="1" t="s">
        <v>4</v>
      </c>
      <c r="E263" s="1">
        <f>SUM(E3:E231)</f>
        <v>36178.286485780409</v>
      </c>
      <c r="F263" s="1">
        <f>SUM(F3:F231)</f>
        <v>4538.6371972866154</v>
      </c>
      <c r="H263" s="1" t="s">
        <v>4</v>
      </c>
      <c r="I263" s="1">
        <f>SUM(I3:I247)</f>
        <v>2632.6943750000005</v>
      </c>
      <c r="J263" s="1">
        <f>SUM(J3:J247)</f>
        <v>2477.4161570090246</v>
      </c>
      <c r="L263" s="1" t="s">
        <v>4</v>
      </c>
      <c r="M263" s="1">
        <f>SUM(M3:M262)</f>
        <v>32593.764434646633</v>
      </c>
      <c r="N263" s="1">
        <f>SUM(N3:N262)</f>
        <v>24746.067779416939</v>
      </c>
    </row>
    <row r="264" spans="1:14" x14ac:dyDescent="0.4">
      <c r="D264" s="1"/>
      <c r="H264" s="1"/>
      <c r="L264" s="1"/>
    </row>
    <row r="265" spans="1:14" x14ac:dyDescent="0.4">
      <c r="C265" s="45" t="s">
        <v>24</v>
      </c>
      <c r="D265" s="45"/>
      <c r="E265" s="45"/>
      <c r="F265" s="24"/>
      <c r="G265" s="45" t="s">
        <v>26</v>
      </c>
      <c r="H265" s="46"/>
      <c r="I265" s="46"/>
      <c r="J265" s="25"/>
      <c r="K265" s="47" t="s">
        <v>35</v>
      </c>
      <c r="L265" s="47"/>
      <c r="M265" s="47"/>
      <c r="N265" s="30"/>
    </row>
  </sheetData>
  <mergeCells count="6">
    <mergeCell ref="C1:F1"/>
    <mergeCell ref="G1:J1"/>
    <mergeCell ref="K1:N1"/>
    <mergeCell ref="C265:E265"/>
    <mergeCell ref="G265:I265"/>
    <mergeCell ref="K265:M26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Chingos</dc:creator>
  <cp:lastModifiedBy>Blagg, Kristin</cp:lastModifiedBy>
  <dcterms:created xsi:type="dcterms:W3CDTF">2016-01-18T19:26:55Z</dcterms:created>
  <dcterms:modified xsi:type="dcterms:W3CDTF">2017-12-14T16:20:18Z</dcterms:modified>
</cp:coreProperties>
</file>